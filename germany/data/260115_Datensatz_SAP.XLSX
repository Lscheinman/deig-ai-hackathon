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805273\Desktop\Use Case Hackathon AI\"/>
    </mc:Choice>
  </mc:AlternateContent>
  <xr:revisionPtr revIDLastSave="0" documentId="13_ncr:1_{51D02B9D-754B-4BE5-91DF-50FC9843E2C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rtikel-Rohdaten" sheetId="5" r:id="rId1"/>
    <sheet name="Q4-24" sheetId="7" r:id="rId2"/>
    <sheet name="Q1-25" sheetId="8" r:id="rId3"/>
    <sheet name="Q2-25" sheetId="9" r:id="rId4"/>
    <sheet name="Q3-25" sheetId="10" r:id="rId5"/>
  </sheets>
  <definedNames>
    <definedName name="_xlnm._FilterDatabase" localSheetId="0" hidden="1">'Artikel-Rohdaten'!$B$1:$I$47</definedName>
    <definedName name="_xlnm._FilterDatabase" localSheetId="2" hidden="1">'Q1-25'!$A$1:$O$47</definedName>
    <definedName name="_xlnm._FilterDatabase" localSheetId="3" hidden="1">'Q2-25'!$A$1:$O$1</definedName>
    <definedName name="_xlnm._FilterDatabase" localSheetId="4" hidden="1">'Q3-25'!$A$1:$O$1</definedName>
    <definedName name="_xlnm._FilterDatabase" localSheetId="1" hidden="1">'Q4-24'!$A$1:$O$47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8" l="1"/>
  <c r="I5" i="8" s="1"/>
  <c r="F5" i="9" s="1"/>
  <c r="I5" i="9" s="1"/>
  <c r="I3" i="7"/>
  <c r="F3" i="8" s="1"/>
  <c r="I4" i="7"/>
  <c r="F4" i="8" s="1"/>
  <c r="I5" i="7"/>
  <c r="N5" i="7" s="1"/>
  <c r="O5" i="7" s="1"/>
  <c r="I6" i="7"/>
  <c r="J6" i="7" s="1"/>
  <c r="K6" i="7" s="1"/>
  <c r="L6" i="7" s="1"/>
  <c r="I7" i="7"/>
  <c r="N7" i="7" s="1"/>
  <c r="O7" i="7" s="1"/>
  <c r="I8" i="7"/>
  <c r="F8" i="8" s="1"/>
  <c r="I8" i="8" s="1"/>
  <c r="I9" i="7"/>
  <c r="F9" i="8" s="1"/>
  <c r="I9" i="8" s="1"/>
  <c r="I10" i="7"/>
  <c r="N10" i="7" s="1"/>
  <c r="O10" i="7" s="1"/>
  <c r="I11" i="7"/>
  <c r="F11" i="8" s="1"/>
  <c r="I12" i="7"/>
  <c r="F12" i="8" s="1"/>
  <c r="I13" i="7"/>
  <c r="N13" i="7" s="1"/>
  <c r="O13" i="7" s="1"/>
  <c r="I14" i="7"/>
  <c r="J14" i="7" s="1"/>
  <c r="K14" i="7" s="1"/>
  <c r="L14" i="7" s="1"/>
  <c r="I15" i="7"/>
  <c r="F15" i="8" s="1"/>
  <c r="I15" i="8" s="1"/>
  <c r="F15" i="9" s="1"/>
  <c r="I16" i="7"/>
  <c r="F16" i="8" s="1"/>
  <c r="I16" i="8" s="1"/>
  <c r="I17" i="7"/>
  <c r="F17" i="8" s="1"/>
  <c r="I18" i="7"/>
  <c r="N18" i="7" s="1"/>
  <c r="O18" i="7" s="1"/>
  <c r="I19" i="7"/>
  <c r="F19" i="8" s="1"/>
  <c r="I20" i="7"/>
  <c r="N20" i="7" s="1"/>
  <c r="O20" i="7" s="1"/>
  <c r="I21" i="7"/>
  <c r="N21" i="7" s="1"/>
  <c r="O21" i="7" s="1"/>
  <c r="I22" i="7"/>
  <c r="F22" i="8" s="1"/>
  <c r="I22" i="8" s="1"/>
  <c r="I23" i="7"/>
  <c r="F23" i="8" s="1"/>
  <c r="I23" i="8" s="1"/>
  <c r="N23" i="8" s="1"/>
  <c r="O23" i="8" s="1"/>
  <c r="I24" i="7"/>
  <c r="F24" i="8" s="1"/>
  <c r="I24" i="8" s="1"/>
  <c r="I25" i="7"/>
  <c r="F25" i="8" s="1"/>
  <c r="I25" i="8" s="1"/>
  <c r="I26" i="7"/>
  <c r="N26" i="7" s="1"/>
  <c r="O26" i="7" s="1"/>
  <c r="I27" i="7"/>
  <c r="J27" i="7" s="1"/>
  <c r="K27" i="7" s="1"/>
  <c r="L27" i="7" s="1"/>
  <c r="I28" i="7"/>
  <c r="F28" i="8" s="1"/>
  <c r="I29" i="7"/>
  <c r="N29" i="7" s="1"/>
  <c r="O29" i="7" s="1"/>
  <c r="I30" i="7"/>
  <c r="F30" i="8" s="1"/>
  <c r="I31" i="7"/>
  <c r="F31" i="8" s="1"/>
  <c r="I32" i="7"/>
  <c r="F32" i="8" s="1"/>
  <c r="I32" i="8" s="1"/>
  <c r="I33" i="7"/>
  <c r="F33" i="8" s="1"/>
  <c r="I34" i="7"/>
  <c r="J34" i="7" s="1"/>
  <c r="K34" i="7" s="1"/>
  <c r="L34" i="7" s="1"/>
  <c r="I35" i="7"/>
  <c r="J35" i="7" s="1"/>
  <c r="K35" i="7" s="1"/>
  <c r="L35" i="7" s="1"/>
  <c r="I36" i="7"/>
  <c r="F36" i="8" s="1"/>
  <c r="I36" i="8" s="1"/>
  <c r="I37" i="7"/>
  <c r="J37" i="7" s="1"/>
  <c r="K37" i="7" s="1"/>
  <c r="L37" i="7" s="1"/>
  <c r="I38" i="7"/>
  <c r="F38" i="8" s="1"/>
  <c r="I39" i="7"/>
  <c r="F39" i="8" s="1"/>
  <c r="I39" i="8" s="1"/>
  <c r="F39" i="9" s="1"/>
  <c r="I39" i="9" s="1"/>
  <c r="N39" i="9" s="1"/>
  <c r="O39" i="9" s="1"/>
  <c r="I40" i="7"/>
  <c r="F40" i="8" s="1"/>
  <c r="I40" i="8" s="1"/>
  <c r="N40" i="8" s="1"/>
  <c r="O40" i="8" s="1"/>
  <c r="I41" i="7"/>
  <c r="F41" i="8" s="1"/>
  <c r="I41" i="8" s="1"/>
  <c r="J41" i="8" s="1"/>
  <c r="K41" i="8" s="1"/>
  <c r="L41" i="8" s="1"/>
  <c r="I42" i="7"/>
  <c r="J42" i="7" s="1"/>
  <c r="K42" i="7" s="1"/>
  <c r="L42" i="7" s="1"/>
  <c r="I43" i="7"/>
  <c r="N43" i="7" s="1"/>
  <c r="O43" i="7" s="1"/>
  <c r="I44" i="7"/>
  <c r="J44" i="7" s="1"/>
  <c r="K44" i="7" s="1"/>
  <c r="L44" i="7" s="1"/>
  <c r="I45" i="7"/>
  <c r="J45" i="7" s="1"/>
  <c r="K45" i="7" s="1"/>
  <c r="L45" i="7" s="1"/>
  <c r="I46" i="7"/>
  <c r="F46" i="8" s="1"/>
  <c r="I47" i="7"/>
  <c r="F47" i="8" s="1"/>
  <c r="I47" i="8" s="1"/>
  <c r="F47" i="9" s="1"/>
  <c r="I47" i="9" s="1"/>
  <c r="J47" i="9" s="1"/>
  <c r="K47" i="9" s="1"/>
  <c r="L47" i="9" s="1"/>
  <c r="I2" i="7"/>
  <c r="N2" i="7" s="1"/>
  <c r="O2" i="7" s="1"/>
  <c r="N47" i="7"/>
  <c r="O47" i="7" s="1"/>
  <c r="J47" i="7"/>
  <c r="K47" i="7" s="1"/>
  <c r="L47" i="7" s="1"/>
  <c r="N45" i="7"/>
  <c r="O45" i="7" s="1"/>
  <c r="N38" i="7"/>
  <c r="O38" i="7" s="1"/>
  <c r="J38" i="7"/>
  <c r="K38" i="7" s="1"/>
  <c r="L38" i="7" s="1"/>
  <c r="N22" i="7"/>
  <c r="O22" i="7" s="1"/>
  <c r="J22" i="7"/>
  <c r="K22" i="7" s="1"/>
  <c r="L22" i="7" s="1"/>
  <c r="J12" i="7"/>
  <c r="K12" i="7" s="1"/>
  <c r="L12" i="7" s="1"/>
  <c r="J3" i="7"/>
  <c r="K3" i="7" s="1"/>
  <c r="L3" i="7" s="1"/>
  <c r="N28" i="7" l="1"/>
  <c r="O28" i="7" s="1"/>
  <c r="J33" i="7"/>
  <c r="K33" i="7" s="1"/>
  <c r="L33" i="7" s="1"/>
  <c r="N33" i="7"/>
  <c r="O33" i="7" s="1"/>
  <c r="J36" i="7"/>
  <c r="K36" i="7" s="1"/>
  <c r="L36" i="7" s="1"/>
  <c r="N36" i="7"/>
  <c r="O36" i="7" s="1"/>
  <c r="J24" i="7"/>
  <c r="K24" i="7" s="1"/>
  <c r="L24" i="7" s="1"/>
  <c r="N23" i="7"/>
  <c r="O23" i="7" s="1"/>
  <c r="J23" i="7"/>
  <c r="K23" i="7" s="1"/>
  <c r="L23" i="7" s="1"/>
  <c r="J20" i="7"/>
  <c r="K20" i="7" s="1"/>
  <c r="L20" i="7" s="1"/>
  <c r="F20" i="8"/>
  <c r="I20" i="8" s="1"/>
  <c r="J16" i="7"/>
  <c r="K16" i="7" s="1"/>
  <c r="L16" i="7" s="1"/>
  <c r="N16" i="7"/>
  <c r="O16" i="7" s="1"/>
  <c r="N14" i="7"/>
  <c r="O14" i="7" s="1"/>
  <c r="J30" i="7"/>
  <c r="K30" i="7" s="1"/>
  <c r="L30" i="7" s="1"/>
  <c r="N30" i="7"/>
  <c r="O30" i="7" s="1"/>
  <c r="N27" i="7"/>
  <c r="O27" i="7" s="1"/>
  <c r="J25" i="7"/>
  <c r="K25" i="7" s="1"/>
  <c r="L25" i="7" s="1"/>
  <c r="N25" i="7"/>
  <c r="O25" i="7" s="1"/>
  <c r="J31" i="7"/>
  <c r="K31" i="7" s="1"/>
  <c r="L31" i="7" s="1"/>
  <c r="J28" i="7"/>
  <c r="K28" i="7" s="1"/>
  <c r="L28" i="7" s="1"/>
  <c r="J9" i="7"/>
  <c r="K9" i="7" s="1"/>
  <c r="L9" i="7" s="1"/>
  <c r="N9" i="7"/>
  <c r="O9" i="7" s="1"/>
  <c r="I30" i="8"/>
  <c r="N30" i="8" s="1"/>
  <c r="O30" i="8" s="1"/>
  <c r="I28" i="8"/>
  <c r="F28" i="9" s="1"/>
  <c r="I28" i="9" s="1"/>
  <c r="F28" i="10" s="1"/>
  <c r="I28" i="10" s="1"/>
  <c r="J28" i="10" s="1"/>
  <c r="K28" i="10" s="1"/>
  <c r="L28" i="10" s="1"/>
  <c r="N24" i="7"/>
  <c r="O24" i="7" s="1"/>
  <c r="N31" i="7"/>
  <c r="O31" i="7" s="1"/>
  <c r="J32" i="7"/>
  <c r="K32" i="7" s="1"/>
  <c r="L32" i="7" s="1"/>
  <c r="N32" i="7"/>
  <c r="O32" i="7" s="1"/>
  <c r="I33" i="8"/>
  <c r="N33" i="8" s="1"/>
  <c r="O33" i="8" s="1"/>
  <c r="F25" i="9"/>
  <c r="I25" i="9" s="1"/>
  <c r="J25" i="9" s="1"/>
  <c r="K25" i="9" s="1"/>
  <c r="L25" i="9" s="1"/>
  <c r="N25" i="8"/>
  <c r="O25" i="8" s="1"/>
  <c r="N36" i="8"/>
  <c r="O36" i="8" s="1"/>
  <c r="J36" i="8"/>
  <c r="K36" i="8" s="1"/>
  <c r="L36" i="8" s="1"/>
  <c r="F36" i="9"/>
  <c r="I36" i="9" s="1"/>
  <c r="J36" i="9" s="1"/>
  <c r="K36" i="9" s="1"/>
  <c r="L36" i="9" s="1"/>
  <c r="J24" i="8"/>
  <c r="K24" i="8" s="1"/>
  <c r="L24" i="8" s="1"/>
  <c r="N24" i="8"/>
  <c r="O24" i="8" s="1"/>
  <c r="I31" i="8"/>
  <c r="F31" i="9" s="1"/>
  <c r="I31" i="9" s="1"/>
  <c r="F31" i="10" s="1"/>
  <c r="I31" i="10" s="1"/>
  <c r="N31" i="10" s="1"/>
  <c r="O31" i="10" s="1"/>
  <c r="F22" i="9"/>
  <c r="I22" i="9" s="1"/>
  <c r="F22" i="10" s="1"/>
  <c r="I22" i="10" s="1"/>
  <c r="N22" i="10" s="1"/>
  <c r="O22" i="10" s="1"/>
  <c r="N22" i="8"/>
  <c r="O22" i="8" s="1"/>
  <c r="J32" i="8"/>
  <c r="K32" i="8" s="1"/>
  <c r="L32" i="8" s="1"/>
  <c r="N32" i="8"/>
  <c r="O32" i="8" s="1"/>
  <c r="I19" i="8"/>
  <c r="J19" i="8" s="1"/>
  <c r="K19" i="8" s="1"/>
  <c r="L19" i="8" s="1"/>
  <c r="N35" i="7"/>
  <c r="O35" i="7" s="1"/>
  <c r="J19" i="7"/>
  <c r="K19" i="7" s="1"/>
  <c r="L19" i="7" s="1"/>
  <c r="F37" i="8"/>
  <c r="I37" i="8" s="1"/>
  <c r="F29" i="8"/>
  <c r="F21" i="8"/>
  <c r="I21" i="8" s="1"/>
  <c r="N19" i="7"/>
  <c r="O19" i="7" s="1"/>
  <c r="F27" i="8"/>
  <c r="I27" i="8" s="1"/>
  <c r="N27" i="8" s="1"/>
  <c r="O27" i="8" s="1"/>
  <c r="F34" i="8"/>
  <c r="I34" i="8" s="1"/>
  <c r="F34" i="9" s="1"/>
  <c r="F26" i="8"/>
  <c r="I26" i="8" s="1"/>
  <c r="N26" i="8" s="1"/>
  <c r="O26" i="8" s="1"/>
  <c r="F18" i="8"/>
  <c r="I18" i="8" s="1"/>
  <c r="F18" i="9" s="1"/>
  <c r="N34" i="7"/>
  <c r="O34" i="7" s="1"/>
  <c r="F14" i="8"/>
  <c r="I14" i="8" s="1"/>
  <c r="N14" i="8" s="1"/>
  <c r="O14" i="8" s="1"/>
  <c r="N37" i="7"/>
  <c r="O37" i="7" s="1"/>
  <c r="F35" i="8"/>
  <c r="I35" i="8" s="1"/>
  <c r="F35" i="9" s="1"/>
  <c r="I35" i="9" s="1"/>
  <c r="N35" i="9" s="1"/>
  <c r="O35" i="9" s="1"/>
  <c r="J13" i="7"/>
  <c r="K13" i="7" s="1"/>
  <c r="L13" i="7" s="1"/>
  <c r="J22" i="8"/>
  <c r="K22" i="8" s="1"/>
  <c r="L22" i="8" s="1"/>
  <c r="N11" i="7"/>
  <c r="O11" i="7" s="1"/>
  <c r="I17" i="8"/>
  <c r="J17" i="8" s="1"/>
  <c r="K17" i="8" s="1"/>
  <c r="L17" i="8" s="1"/>
  <c r="J17" i="7"/>
  <c r="K17" i="7" s="1"/>
  <c r="L17" i="7" s="1"/>
  <c r="N17" i="7"/>
  <c r="O17" i="7" s="1"/>
  <c r="J16" i="8"/>
  <c r="K16" i="8" s="1"/>
  <c r="L16" i="8" s="1"/>
  <c r="N16" i="8"/>
  <c r="O16" i="8" s="1"/>
  <c r="J15" i="7"/>
  <c r="K15" i="7" s="1"/>
  <c r="L15" i="7" s="1"/>
  <c r="N15" i="7"/>
  <c r="O15" i="7" s="1"/>
  <c r="F13" i="8"/>
  <c r="I12" i="8"/>
  <c r="N12" i="7"/>
  <c r="O12" i="7" s="1"/>
  <c r="I11" i="8"/>
  <c r="J11" i="7"/>
  <c r="K11" i="7" s="1"/>
  <c r="L11" i="7" s="1"/>
  <c r="F10" i="8"/>
  <c r="I10" i="8" s="1"/>
  <c r="N10" i="8" s="1"/>
  <c r="O10" i="8" s="1"/>
  <c r="J9" i="8"/>
  <c r="K9" i="8" s="1"/>
  <c r="L9" i="8" s="1"/>
  <c r="N9" i="8"/>
  <c r="O9" i="8" s="1"/>
  <c r="J8" i="8"/>
  <c r="K8" i="8" s="1"/>
  <c r="L8" i="8" s="1"/>
  <c r="N8" i="8"/>
  <c r="O8" i="8" s="1"/>
  <c r="J8" i="7"/>
  <c r="K8" i="7" s="1"/>
  <c r="L8" i="7" s="1"/>
  <c r="N8" i="7"/>
  <c r="O8" i="7" s="1"/>
  <c r="I38" i="8"/>
  <c r="J38" i="8" s="1"/>
  <c r="K38" i="8" s="1"/>
  <c r="L38" i="8" s="1"/>
  <c r="J39" i="7"/>
  <c r="K39" i="7" s="1"/>
  <c r="L39" i="7" s="1"/>
  <c r="N39" i="7"/>
  <c r="O39" i="7" s="1"/>
  <c r="J40" i="7"/>
  <c r="K40" i="7" s="1"/>
  <c r="L40" i="7" s="1"/>
  <c r="N40" i="7"/>
  <c r="O40" i="7" s="1"/>
  <c r="N41" i="7"/>
  <c r="O41" i="7" s="1"/>
  <c r="J41" i="7"/>
  <c r="K41" i="7" s="1"/>
  <c r="L41" i="7" s="1"/>
  <c r="F42" i="8"/>
  <c r="I42" i="8" s="1"/>
  <c r="N42" i="8" s="1"/>
  <c r="O42" i="8" s="1"/>
  <c r="N42" i="7"/>
  <c r="O42" i="7" s="1"/>
  <c r="J43" i="7"/>
  <c r="K43" i="7" s="1"/>
  <c r="L43" i="7" s="1"/>
  <c r="F43" i="8"/>
  <c r="I43" i="8" s="1"/>
  <c r="J43" i="8" s="1"/>
  <c r="K43" i="8" s="1"/>
  <c r="L43" i="8" s="1"/>
  <c r="F44" i="8"/>
  <c r="N44" i="7"/>
  <c r="O44" i="7" s="1"/>
  <c r="F45" i="8"/>
  <c r="I45" i="8" s="1"/>
  <c r="J45" i="8" s="1"/>
  <c r="K45" i="8" s="1"/>
  <c r="L45" i="8" s="1"/>
  <c r="J46" i="7"/>
  <c r="K46" i="7" s="1"/>
  <c r="L46" i="7" s="1"/>
  <c r="I46" i="8"/>
  <c r="J46" i="8" s="1"/>
  <c r="K46" i="8" s="1"/>
  <c r="L46" i="8" s="1"/>
  <c r="N46" i="7"/>
  <c r="O46" i="7" s="1"/>
  <c r="F7" i="8"/>
  <c r="I7" i="8" s="1"/>
  <c r="F7" i="9" s="1"/>
  <c r="I7" i="9" s="1"/>
  <c r="F7" i="10" s="1"/>
  <c r="I7" i="10" s="1"/>
  <c r="N7" i="10" s="1"/>
  <c r="O7" i="10" s="1"/>
  <c r="J7" i="7"/>
  <c r="K7" i="7" s="1"/>
  <c r="L7" i="7" s="1"/>
  <c r="F6" i="8"/>
  <c r="I6" i="8" s="1"/>
  <c r="N6" i="8" s="1"/>
  <c r="O6" i="8" s="1"/>
  <c r="N6" i="7"/>
  <c r="O6" i="7" s="1"/>
  <c r="J5" i="7"/>
  <c r="K5" i="7" s="1"/>
  <c r="L5" i="7" s="1"/>
  <c r="N5" i="8"/>
  <c r="O5" i="8" s="1"/>
  <c r="J4" i="7"/>
  <c r="K4" i="7" s="1"/>
  <c r="L4" i="7" s="1"/>
  <c r="N4" i="7"/>
  <c r="O4" i="7" s="1"/>
  <c r="I4" i="8"/>
  <c r="J4" i="8" s="1"/>
  <c r="K4" i="8" s="1"/>
  <c r="L4" i="8" s="1"/>
  <c r="N3" i="7"/>
  <c r="O3" i="7" s="1"/>
  <c r="I3" i="8"/>
  <c r="J3" i="8" s="1"/>
  <c r="K3" i="8" s="1"/>
  <c r="L3" i="8" s="1"/>
  <c r="J2" i="7"/>
  <c r="K2" i="7" s="1"/>
  <c r="L2" i="7" s="1"/>
  <c r="F2" i="8"/>
  <c r="I2" i="8" s="1"/>
  <c r="I15" i="9"/>
  <c r="F15" i="10" s="1"/>
  <c r="I15" i="10" s="1"/>
  <c r="N15" i="10" s="1"/>
  <c r="O15" i="10" s="1"/>
  <c r="J25" i="8"/>
  <c r="K25" i="8" s="1"/>
  <c r="L25" i="8" s="1"/>
  <c r="J39" i="8"/>
  <c r="K39" i="8" s="1"/>
  <c r="L39" i="8" s="1"/>
  <c r="N39" i="8"/>
  <c r="O39" i="8" s="1"/>
  <c r="N47" i="8"/>
  <c r="O47" i="8" s="1"/>
  <c r="F41" i="9"/>
  <c r="I41" i="9" s="1"/>
  <c r="N41" i="9" s="1"/>
  <c r="O41" i="9" s="1"/>
  <c r="F9" i="9"/>
  <c r="J47" i="8"/>
  <c r="K47" i="8" s="1"/>
  <c r="L47" i="8" s="1"/>
  <c r="J15" i="8"/>
  <c r="K15" i="8" s="1"/>
  <c r="L15" i="8" s="1"/>
  <c r="N41" i="8"/>
  <c r="O41" i="8" s="1"/>
  <c r="F40" i="9"/>
  <c r="F32" i="9"/>
  <c r="F24" i="9"/>
  <c r="F16" i="9"/>
  <c r="F8" i="9"/>
  <c r="J5" i="8"/>
  <c r="K5" i="8" s="1"/>
  <c r="L5" i="8" s="1"/>
  <c r="N15" i="8"/>
  <c r="O15" i="8" s="1"/>
  <c r="F23" i="9"/>
  <c r="I23" i="9" s="1"/>
  <c r="N23" i="9" s="1"/>
  <c r="O23" i="9" s="1"/>
  <c r="J23" i="8"/>
  <c r="K23" i="8" s="1"/>
  <c r="L23" i="8" s="1"/>
  <c r="F2" i="9"/>
  <c r="F5" i="10"/>
  <c r="N5" i="9"/>
  <c r="O5" i="9" s="1"/>
  <c r="J5" i="9"/>
  <c r="K5" i="9" s="1"/>
  <c r="L5" i="9" s="1"/>
  <c r="N47" i="9"/>
  <c r="O47" i="9" s="1"/>
  <c r="J39" i="9"/>
  <c r="K39" i="9" s="1"/>
  <c r="L39" i="9" s="1"/>
  <c r="F47" i="10"/>
  <c r="F39" i="10"/>
  <c r="J40" i="8"/>
  <c r="K40" i="8" s="1"/>
  <c r="L40" i="8" s="1"/>
  <c r="J26" i="7"/>
  <c r="K26" i="7" s="1"/>
  <c r="L26" i="7" s="1"/>
  <c r="J29" i="7"/>
  <c r="K29" i="7" s="1"/>
  <c r="L29" i="7" s="1"/>
  <c r="J18" i="7"/>
  <c r="K18" i="7" s="1"/>
  <c r="L18" i="7" s="1"/>
  <c r="J21" i="7"/>
  <c r="K21" i="7" s="1"/>
  <c r="L21" i="7" s="1"/>
  <c r="J10" i="7"/>
  <c r="K10" i="7" s="1"/>
  <c r="L10" i="7" s="1"/>
  <c r="N31" i="8" l="1"/>
  <c r="O31" i="8" s="1"/>
  <c r="F42" i="9"/>
  <c r="I42" i="9" s="1"/>
  <c r="F42" i="10" s="1"/>
  <c r="I42" i="10" s="1"/>
  <c r="N42" i="10" s="1"/>
  <c r="O42" i="10" s="1"/>
  <c r="J42" i="8"/>
  <c r="K42" i="8" s="1"/>
  <c r="L42" i="8" s="1"/>
  <c r="N15" i="9"/>
  <c r="O15" i="9" s="1"/>
  <c r="J7" i="9"/>
  <c r="K7" i="9" s="1"/>
  <c r="L7" i="9" s="1"/>
  <c r="N45" i="8"/>
  <c r="O45" i="8" s="1"/>
  <c r="N7" i="8"/>
  <c r="O7" i="8" s="1"/>
  <c r="N7" i="9"/>
  <c r="O7" i="9" s="1"/>
  <c r="J7" i="8"/>
  <c r="K7" i="8" s="1"/>
  <c r="L7" i="8" s="1"/>
  <c r="F6" i="9"/>
  <c r="J6" i="8"/>
  <c r="K6" i="8" s="1"/>
  <c r="L6" i="8" s="1"/>
  <c r="J22" i="10"/>
  <c r="K22" i="10" s="1"/>
  <c r="L22" i="10" s="1"/>
  <c r="F25" i="10"/>
  <c r="I25" i="10" s="1"/>
  <c r="N25" i="10" s="1"/>
  <c r="O25" i="10" s="1"/>
  <c r="N28" i="8"/>
  <c r="O28" i="8" s="1"/>
  <c r="F23" i="10"/>
  <c r="I23" i="10" s="1"/>
  <c r="N23" i="10" s="1"/>
  <c r="O23" i="10" s="1"/>
  <c r="N22" i="9"/>
  <c r="O22" i="9" s="1"/>
  <c r="J22" i="9"/>
  <c r="K22" i="9" s="1"/>
  <c r="L22" i="9" s="1"/>
  <c r="J21" i="8"/>
  <c r="K21" i="8" s="1"/>
  <c r="L21" i="8" s="1"/>
  <c r="J20" i="8"/>
  <c r="K20" i="8" s="1"/>
  <c r="L20" i="8" s="1"/>
  <c r="F14" i="9"/>
  <c r="I14" i="9" s="1"/>
  <c r="J14" i="9" s="1"/>
  <c r="K14" i="9" s="1"/>
  <c r="L14" i="9" s="1"/>
  <c r="N35" i="8"/>
  <c r="O35" i="8" s="1"/>
  <c r="N34" i="8"/>
  <c r="O34" i="8" s="1"/>
  <c r="J34" i="8"/>
  <c r="K34" i="8" s="1"/>
  <c r="L34" i="8" s="1"/>
  <c r="F30" i="9"/>
  <c r="I30" i="9" s="1"/>
  <c r="J30" i="9" s="1"/>
  <c r="K30" i="9" s="1"/>
  <c r="L30" i="9" s="1"/>
  <c r="J30" i="8"/>
  <c r="K30" i="8" s="1"/>
  <c r="L30" i="8" s="1"/>
  <c r="J27" i="8"/>
  <c r="K27" i="8" s="1"/>
  <c r="L27" i="8" s="1"/>
  <c r="J26" i="8"/>
  <c r="K26" i="8" s="1"/>
  <c r="L26" i="8" s="1"/>
  <c r="J31" i="9"/>
  <c r="K31" i="9" s="1"/>
  <c r="L31" i="9" s="1"/>
  <c r="J31" i="10"/>
  <c r="K31" i="10" s="1"/>
  <c r="L31" i="10" s="1"/>
  <c r="N31" i="9"/>
  <c r="O31" i="9" s="1"/>
  <c r="J31" i="8"/>
  <c r="K31" i="8" s="1"/>
  <c r="L31" i="8" s="1"/>
  <c r="J28" i="9"/>
  <c r="K28" i="9" s="1"/>
  <c r="L28" i="9" s="1"/>
  <c r="F26" i="9"/>
  <c r="F33" i="9"/>
  <c r="I33" i="9" s="1"/>
  <c r="N33" i="9" s="1"/>
  <c r="O33" i="9" s="1"/>
  <c r="F27" i="9"/>
  <c r="I27" i="9" s="1"/>
  <c r="F27" i="10" s="1"/>
  <c r="I27" i="10" s="1"/>
  <c r="N27" i="10" s="1"/>
  <c r="O27" i="10" s="1"/>
  <c r="N28" i="9"/>
  <c r="O28" i="9" s="1"/>
  <c r="J28" i="8"/>
  <c r="K28" i="8" s="1"/>
  <c r="L28" i="8" s="1"/>
  <c r="J35" i="9"/>
  <c r="K35" i="9" s="1"/>
  <c r="L35" i="9" s="1"/>
  <c r="J33" i="8"/>
  <c r="K33" i="8" s="1"/>
  <c r="L33" i="8" s="1"/>
  <c r="N18" i="8"/>
  <c r="O18" i="8" s="1"/>
  <c r="I18" i="9"/>
  <c r="J18" i="9" s="1"/>
  <c r="K18" i="9" s="1"/>
  <c r="L18" i="9" s="1"/>
  <c r="I34" i="9"/>
  <c r="J34" i="9" s="1"/>
  <c r="K34" i="9" s="1"/>
  <c r="L34" i="9" s="1"/>
  <c r="F21" i="9"/>
  <c r="N21" i="8"/>
  <c r="O21" i="8" s="1"/>
  <c r="J37" i="8"/>
  <c r="K37" i="8" s="1"/>
  <c r="L37" i="8" s="1"/>
  <c r="I29" i="8"/>
  <c r="F37" i="9"/>
  <c r="N37" i="8"/>
  <c r="O37" i="8" s="1"/>
  <c r="N25" i="9"/>
  <c r="O25" i="9" s="1"/>
  <c r="J35" i="8"/>
  <c r="K35" i="8" s="1"/>
  <c r="L35" i="8" s="1"/>
  <c r="N20" i="8"/>
  <c r="O20" i="8" s="1"/>
  <c r="F20" i="9"/>
  <c r="J18" i="8"/>
  <c r="K18" i="8" s="1"/>
  <c r="L18" i="8" s="1"/>
  <c r="J23" i="9"/>
  <c r="K23" i="9" s="1"/>
  <c r="L23" i="9" s="1"/>
  <c r="F35" i="10"/>
  <c r="I35" i="10" s="1"/>
  <c r="N35" i="10" s="1"/>
  <c r="O35" i="10" s="1"/>
  <c r="J14" i="8"/>
  <c r="K14" i="8" s="1"/>
  <c r="L14" i="8" s="1"/>
  <c r="F19" i="9"/>
  <c r="N19" i="8"/>
  <c r="O19" i="8" s="1"/>
  <c r="F17" i="9"/>
  <c r="N17" i="8"/>
  <c r="O17" i="8" s="1"/>
  <c r="J15" i="10"/>
  <c r="K15" i="10" s="1"/>
  <c r="L15" i="10" s="1"/>
  <c r="J15" i="9"/>
  <c r="K15" i="9" s="1"/>
  <c r="L15" i="9" s="1"/>
  <c r="I13" i="8"/>
  <c r="F12" i="9"/>
  <c r="N12" i="8"/>
  <c r="O12" i="8" s="1"/>
  <c r="J12" i="8"/>
  <c r="K12" i="8" s="1"/>
  <c r="L12" i="8" s="1"/>
  <c r="F11" i="9"/>
  <c r="N11" i="8"/>
  <c r="O11" i="8" s="1"/>
  <c r="J11" i="8"/>
  <c r="K11" i="8" s="1"/>
  <c r="L11" i="8" s="1"/>
  <c r="F10" i="9"/>
  <c r="J10" i="8"/>
  <c r="K10" i="8" s="1"/>
  <c r="L10" i="8" s="1"/>
  <c r="N38" i="8"/>
  <c r="O38" i="8" s="1"/>
  <c r="F38" i="9"/>
  <c r="J41" i="9"/>
  <c r="K41" i="9" s="1"/>
  <c r="L41" i="9" s="1"/>
  <c r="F41" i="10"/>
  <c r="N42" i="9"/>
  <c r="O42" i="9" s="1"/>
  <c r="F43" i="9"/>
  <c r="I43" i="9" s="1"/>
  <c r="N43" i="9" s="1"/>
  <c r="O43" i="9" s="1"/>
  <c r="N43" i="8"/>
  <c r="O43" i="8" s="1"/>
  <c r="I44" i="8"/>
  <c r="F45" i="9"/>
  <c r="N46" i="8"/>
  <c r="O46" i="8" s="1"/>
  <c r="F46" i="9"/>
  <c r="N4" i="8"/>
  <c r="O4" i="8" s="1"/>
  <c r="F4" i="9"/>
  <c r="F3" i="9"/>
  <c r="I3" i="9" s="1"/>
  <c r="N3" i="8"/>
  <c r="O3" i="8" s="1"/>
  <c r="J2" i="8"/>
  <c r="K2" i="8" s="1"/>
  <c r="L2" i="8" s="1"/>
  <c r="N2" i="8"/>
  <c r="O2" i="8" s="1"/>
  <c r="I16" i="9"/>
  <c r="J16" i="9" s="1"/>
  <c r="K16" i="9" s="1"/>
  <c r="L16" i="9" s="1"/>
  <c r="I24" i="9"/>
  <c r="J24" i="9" s="1"/>
  <c r="K24" i="9" s="1"/>
  <c r="L24" i="9" s="1"/>
  <c r="N28" i="10"/>
  <c r="O28" i="10" s="1"/>
  <c r="I40" i="9"/>
  <c r="J40" i="9" s="1"/>
  <c r="K40" i="9" s="1"/>
  <c r="L40" i="9" s="1"/>
  <c r="I9" i="9"/>
  <c r="N36" i="9"/>
  <c r="O36" i="9" s="1"/>
  <c r="F36" i="10"/>
  <c r="I8" i="9"/>
  <c r="J8" i="9" s="1"/>
  <c r="K8" i="9" s="1"/>
  <c r="L8" i="9" s="1"/>
  <c r="I32" i="9"/>
  <c r="J32" i="9" s="1"/>
  <c r="K32" i="9" s="1"/>
  <c r="L32" i="9" s="1"/>
  <c r="I2" i="9"/>
  <c r="I5" i="10"/>
  <c r="N5" i="10" s="1"/>
  <c r="O5" i="10" s="1"/>
  <c r="I39" i="10"/>
  <c r="N39" i="10" s="1"/>
  <c r="O39" i="10" s="1"/>
  <c r="I47" i="10"/>
  <c r="N47" i="10" s="1"/>
  <c r="O47" i="10" s="1"/>
  <c r="J7" i="10"/>
  <c r="K7" i="10" s="1"/>
  <c r="L7" i="10" s="1"/>
  <c r="J42" i="10" l="1"/>
  <c r="K42" i="10" s="1"/>
  <c r="L42" i="10" s="1"/>
  <c r="J42" i="9"/>
  <c r="K42" i="9" s="1"/>
  <c r="L42" i="9" s="1"/>
  <c r="I6" i="9"/>
  <c r="J27" i="9"/>
  <c r="K27" i="9" s="1"/>
  <c r="L27" i="9" s="1"/>
  <c r="J33" i="9"/>
  <c r="K33" i="9" s="1"/>
  <c r="L33" i="9" s="1"/>
  <c r="F33" i="10"/>
  <c r="I33" i="10" s="1"/>
  <c r="N33" i="10" s="1"/>
  <c r="O33" i="10" s="1"/>
  <c r="N27" i="9"/>
  <c r="O27" i="9" s="1"/>
  <c r="I26" i="9"/>
  <c r="J26" i="9" s="1"/>
  <c r="K26" i="9" s="1"/>
  <c r="L26" i="9" s="1"/>
  <c r="I19" i="9"/>
  <c r="J19" i="9" s="1"/>
  <c r="K19" i="9" s="1"/>
  <c r="L19" i="9" s="1"/>
  <c r="I37" i="9"/>
  <c r="J37" i="9" s="1"/>
  <c r="K37" i="9" s="1"/>
  <c r="L37" i="9" s="1"/>
  <c r="I21" i="9"/>
  <c r="J21" i="9" s="1"/>
  <c r="K21" i="9" s="1"/>
  <c r="L21" i="9" s="1"/>
  <c r="F29" i="9"/>
  <c r="N29" i="8"/>
  <c r="O29" i="8" s="1"/>
  <c r="I20" i="9"/>
  <c r="J20" i="9" s="1"/>
  <c r="K20" i="9" s="1"/>
  <c r="L20" i="9" s="1"/>
  <c r="J29" i="8"/>
  <c r="K29" i="8" s="1"/>
  <c r="L29" i="8" s="1"/>
  <c r="F34" i="10"/>
  <c r="N34" i="9"/>
  <c r="O34" i="9" s="1"/>
  <c r="F30" i="10"/>
  <c r="N30" i="9"/>
  <c r="O30" i="9" s="1"/>
  <c r="N18" i="9"/>
  <c r="O18" i="9" s="1"/>
  <c r="F18" i="10"/>
  <c r="I17" i="9"/>
  <c r="J17" i="9" s="1"/>
  <c r="K17" i="9" s="1"/>
  <c r="L17" i="9" s="1"/>
  <c r="F14" i="10"/>
  <c r="N14" i="9"/>
  <c r="O14" i="9" s="1"/>
  <c r="F13" i="9"/>
  <c r="N13" i="8"/>
  <c r="O13" i="8" s="1"/>
  <c r="J13" i="8"/>
  <c r="K13" i="8" s="1"/>
  <c r="L13" i="8" s="1"/>
  <c r="I12" i="9"/>
  <c r="J12" i="9" s="1"/>
  <c r="K12" i="9" s="1"/>
  <c r="L12" i="9" s="1"/>
  <c r="I11" i="9"/>
  <c r="I10" i="9"/>
  <c r="I38" i="9"/>
  <c r="I41" i="10"/>
  <c r="N41" i="10" s="1"/>
  <c r="O41" i="10" s="1"/>
  <c r="F43" i="10"/>
  <c r="I43" i="10" s="1"/>
  <c r="N43" i="10" s="1"/>
  <c r="O43" i="10" s="1"/>
  <c r="J43" i="9"/>
  <c r="K43" i="9" s="1"/>
  <c r="L43" i="9" s="1"/>
  <c r="N44" i="8"/>
  <c r="O44" i="8" s="1"/>
  <c r="F44" i="9"/>
  <c r="J44" i="8"/>
  <c r="K44" i="8" s="1"/>
  <c r="L44" i="8" s="1"/>
  <c r="I45" i="9"/>
  <c r="J45" i="9" s="1"/>
  <c r="K45" i="9" s="1"/>
  <c r="L45" i="9" s="1"/>
  <c r="I46" i="9"/>
  <c r="J46" i="9" s="1"/>
  <c r="K46" i="9" s="1"/>
  <c r="L46" i="9" s="1"/>
  <c r="I4" i="9"/>
  <c r="N3" i="9"/>
  <c r="O3" i="9" s="1"/>
  <c r="F3" i="10"/>
  <c r="J3" i="9"/>
  <c r="K3" i="9" s="1"/>
  <c r="L3" i="9" s="1"/>
  <c r="J23" i="10"/>
  <c r="K23" i="10" s="1"/>
  <c r="L23" i="10" s="1"/>
  <c r="F32" i="10"/>
  <c r="N32" i="9"/>
  <c r="O32" i="9" s="1"/>
  <c r="F9" i="10"/>
  <c r="N9" i="9"/>
  <c r="O9" i="9" s="1"/>
  <c r="F24" i="10"/>
  <c r="N24" i="9"/>
  <c r="O24" i="9" s="1"/>
  <c r="J5" i="10"/>
  <c r="K5" i="10" s="1"/>
  <c r="L5" i="10" s="1"/>
  <c r="J9" i="9"/>
  <c r="K9" i="9" s="1"/>
  <c r="L9" i="9" s="1"/>
  <c r="F8" i="10"/>
  <c r="N8" i="9"/>
  <c r="O8" i="9" s="1"/>
  <c r="F16" i="10"/>
  <c r="N16" i="9"/>
  <c r="O16" i="9" s="1"/>
  <c r="F40" i="10"/>
  <c r="N40" i="9"/>
  <c r="O40" i="9" s="1"/>
  <c r="J25" i="10"/>
  <c r="K25" i="10" s="1"/>
  <c r="L25" i="10" s="1"/>
  <c r="I36" i="10"/>
  <c r="N36" i="10" s="1"/>
  <c r="O36" i="10" s="1"/>
  <c r="N2" i="9"/>
  <c r="O2" i="9" s="1"/>
  <c r="F2" i="10"/>
  <c r="J2" i="9"/>
  <c r="K2" i="9" s="1"/>
  <c r="L2" i="9" s="1"/>
  <c r="J27" i="10"/>
  <c r="K27" i="10" s="1"/>
  <c r="L27" i="10" s="1"/>
  <c r="J35" i="10"/>
  <c r="K35" i="10" s="1"/>
  <c r="L35" i="10" s="1"/>
  <c r="J47" i="10"/>
  <c r="K47" i="10" s="1"/>
  <c r="L47" i="10" s="1"/>
  <c r="J39" i="10"/>
  <c r="K39" i="10" s="1"/>
  <c r="L39" i="10" s="1"/>
  <c r="N6" i="9" l="1"/>
  <c r="O6" i="9" s="1"/>
  <c r="F6" i="10"/>
  <c r="J41" i="10"/>
  <c r="K41" i="10" s="1"/>
  <c r="L41" i="10" s="1"/>
  <c r="J6" i="9"/>
  <c r="K6" i="9" s="1"/>
  <c r="L6" i="9" s="1"/>
  <c r="J33" i="10"/>
  <c r="K33" i="10" s="1"/>
  <c r="L33" i="10" s="1"/>
  <c r="N26" i="9"/>
  <c r="O26" i="9" s="1"/>
  <c r="F26" i="10"/>
  <c r="I30" i="10"/>
  <c r="N30" i="10" s="1"/>
  <c r="O30" i="10" s="1"/>
  <c r="I29" i="9"/>
  <c r="J29" i="9" s="1"/>
  <c r="K29" i="9" s="1"/>
  <c r="L29" i="9" s="1"/>
  <c r="J36" i="10"/>
  <c r="K36" i="10" s="1"/>
  <c r="L36" i="10" s="1"/>
  <c r="F21" i="10"/>
  <c r="N21" i="9"/>
  <c r="O21" i="9" s="1"/>
  <c r="I34" i="10"/>
  <c r="N34" i="10" s="1"/>
  <c r="O34" i="10" s="1"/>
  <c r="N37" i="9"/>
  <c r="O37" i="9" s="1"/>
  <c r="F37" i="10"/>
  <c r="I18" i="10"/>
  <c r="N18" i="10" s="1"/>
  <c r="O18" i="10" s="1"/>
  <c r="N20" i="9"/>
  <c r="O20" i="9" s="1"/>
  <c r="F20" i="10"/>
  <c r="N19" i="9"/>
  <c r="O19" i="9" s="1"/>
  <c r="F19" i="10"/>
  <c r="N17" i="9"/>
  <c r="O17" i="9" s="1"/>
  <c r="F17" i="10"/>
  <c r="I14" i="10"/>
  <c r="N14" i="10" s="1"/>
  <c r="O14" i="10" s="1"/>
  <c r="I13" i="9"/>
  <c r="F12" i="10"/>
  <c r="N12" i="9"/>
  <c r="O12" i="9" s="1"/>
  <c r="N11" i="9"/>
  <c r="O11" i="9" s="1"/>
  <c r="F11" i="10"/>
  <c r="J11" i="9"/>
  <c r="K11" i="9" s="1"/>
  <c r="L11" i="9" s="1"/>
  <c r="N10" i="9"/>
  <c r="O10" i="9" s="1"/>
  <c r="F10" i="10"/>
  <c r="J10" i="9"/>
  <c r="K10" i="9" s="1"/>
  <c r="L10" i="9" s="1"/>
  <c r="F38" i="10"/>
  <c r="N38" i="9"/>
  <c r="O38" i="9" s="1"/>
  <c r="J38" i="9"/>
  <c r="K38" i="9" s="1"/>
  <c r="L38" i="9" s="1"/>
  <c r="J43" i="10"/>
  <c r="K43" i="10" s="1"/>
  <c r="L43" i="10" s="1"/>
  <c r="I44" i="9"/>
  <c r="J44" i="9" s="1"/>
  <c r="K44" i="9" s="1"/>
  <c r="L44" i="9" s="1"/>
  <c r="F45" i="10"/>
  <c r="N45" i="9"/>
  <c r="O45" i="9" s="1"/>
  <c r="F46" i="10"/>
  <c r="N46" i="9"/>
  <c r="O46" i="9" s="1"/>
  <c r="N4" i="9"/>
  <c r="O4" i="9" s="1"/>
  <c r="F4" i="10"/>
  <c r="J4" i="9"/>
  <c r="K4" i="9" s="1"/>
  <c r="L4" i="9" s="1"/>
  <c r="I3" i="10"/>
  <c r="N3" i="10" s="1"/>
  <c r="O3" i="10" s="1"/>
  <c r="I40" i="10"/>
  <c r="N40" i="10" s="1"/>
  <c r="O40" i="10" s="1"/>
  <c r="I16" i="10"/>
  <c r="N16" i="10" s="1"/>
  <c r="O16" i="10" s="1"/>
  <c r="I24" i="10"/>
  <c r="N24" i="10" s="1"/>
  <c r="O24" i="10" s="1"/>
  <c r="I32" i="10"/>
  <c r="N32" i="10" s="1"/>
  <c r="O32" i="10" s="1"/>
  <c r="I8" i="10"/>
  <c r="N8" i="10" s="1"/>
  <c r="O8" i="10" s="1"/>
  <c r="I9" i="10"/>
  <c r="N9" i="10" s="1"/>
  <c r="O9" i="10" s="1"/>
  <c r="I2" i="10"/>
  <c r="N2" i="10" s="1"/>
  <c r="O2" i="10" s="1"/>
  <c r="J18" i="10" l="1"/>
  <c r="K18" i="10" s="1"/>
  <c r="L18" i="10" s="1"/>
  <c r="J14" i="10"/>
  <c r="K14" i="10" s="1"/>
  <c r="L14" i="10" s="1"/>
  <c r="I6" i="10"/>
  <c r="N6" i="10" s="1"/>
  <c r="O6" i="10" s="1"/>
  <c r="J30" i="10"/>
  <c r="K30" i="10" s="1"/>
  <c r="L30" i="10" s="1"/>
  <c r="J34" i="10"/>
  <c r="K34" i="10" s="1"/>
  <c r="L34" i="10" s="1"/>
  <c r="I26" i="10"/>
  <c r="N26" i="10" s="1"/>
  <c r="O26" i="10" s="1"/>
  <c r="J24" i="10"/>
  <c r="K24" i="10" s="1"/>
  <c r="L24" i="10" s="1"/>
  <c r="I20" i="10"/>
  <c r="N20" i="10" s="1"/>
  <c r="O20" i="10" s="1"/>
  <c r="I21" i="10"/>
  <c r="N21" i="10" s="1"/>
  <c r="O21" i="10" s="1"/>
  <c r="J8" i="10"/>
  <c r="K8" i="10" s="1"/>
  <c r="L8" i="10" s="1"/>
  <c r="I37" i="10"/>
  <c r="N37" i="10" s="1"/>
  <c r="O37" i="10" s="1"/>
  <c r="F29" i="10"/>
  <c r="N29" i="9"/>
  <c r="O29" i="9" s="1"/>
  <c r="J32" i="10"/>
  <c r="K32" i="10" s="1"/>
  <c r="L32" i="10" s="1"/>
  <c r="I19" i="10"/>
  <c r="N19" i="10" s="1"/>
  <c r="O19" i="10" s="1"/>
  <c r="I17" i="10"/>
  <c r="N17" i="10" s="1"/>
  <c r="O17" i="10" s="1"/>
  <c r="F13" i="10"/>
  <c r="N13" i="9"/>
  <c r="O13" i="9" s="1"/>
  <c r="J13" i="9"/>
  <c r="K13" i="9" s="1"/>
  <c r="L13" i="9" s="1"/>
  <c r="I12" i="10"/>
  <c r="N12" i="10" s="1"/>
  <c r="O12" i="10" s="1"/>
  <c r="I11" i="10"/>
  <c r="N11" i="10" s="1"/>
  <c r="O11" i="10" s="1"/>
  <c r="I10" i="10"/>
  <c r="N10" i="10" s="1"/>
  <c r="O10" i="10" s="1"/>
  <c r="I38" i="10"/>
  <c r="N38" i="10" s="1"/>
  <c r="O38" i="10" s="1"/>
  <c r="J40" i="10"/>
  <c r="K40" i="10" s="1"/>
  <c r="L40" i="10" s="1"/>
  <c r="N44" i="9"/>
  <c r="O44" i="9" s="1"/>
  <c r="F44" i="10"/>
  <c r="I45" i="10"/>
  <c r="N45" i="10" s="1"/>
  <c r="O45" i="10" s="1"/>
  <c r="I46" i="10"/>
  <c r="N46" i="10" s="1"/>
  <c r="O46" i="10" s="1"/>
  <c r="I4" i="10"/>
  <c r="N4" i="10" s="1"/>
  <c r="O4" i="10" s="1"/>
  <c r="J3" i="10"/>
  <c r="K3" i="10" s="1"/>
  <c r="L3" i="10" s="1"/>
  <c r="J2" i="10"/>
  <c r="K2" i="10" s="1"/>
  <c r="L2" i="10" s="1"/>
  <c r="J9" i="10"/>
  <c r="K9" i="10" s="1"/>
  <c r="L9" i="10" s="1"/>
  <c r="J16" i="10"/>
  <c r="K16" i="10" s="1"/>
  <c r="L16" i="10" s="1"/>
  <c r="J11" i="10" l="1"/>
  <c r="K11" i="10" s="1"/>
  <c r="L11" i="10" s="1"/>
  <c r="J26" i="10"/>
  <c r="K26" i="10" s="1"/>
  <c r="L26" i="10" s="1"/>
  <c r="J45" i="10"/>
  <c r="K45" i="10" s="1"/>
  <c r="L45" i="10" s="1"/>
  <c r="J21" i="10"/>
  <c r="K21" i="10" s="1"/>
  <c r="L21" i="10" s="1"/>
  <c r="J6" i="10"/>
  <c r="K6" i="10" s="1"/>
  <c r="L6" i="10" s="1"/>
  <c r="J4" i="10"/>
  <c r="K4" i="10" s="1"/>
  <c r="L4" i="10" s="1"/>
  <c r="J19" i="10"/>
  <c r="K19" i="10" s="1"/>
  <c r="L19" i="10" s="1"/>
  <c r="J10" i="10"/>
  <c r="K10" i="10" s="1"/>
  <c r="L10" i="10" s="1"/>
  <c r="J37" i="10"/>
  <c r="K37" i="10" s="1"/>
  <c r="L37" i="10" s="1"/>
  <c r="J12" i="10"/>
  <c r="K12" i="10" s="1"/>
  <c r="L12" i="10" s="1"/>
  <c r="J20" i="10"/>
  <c r="K20" i="10" s="1"/>
  <c r="L20" i="10" s="1"/>
  <c r="I29" i="10"/>
  <c r="N29" i="10" s="1"/>
  <c r="O29" i="10" s="1"/>
  <c r="J17" i="10"/>
  <c r="K17" i="10" s="1"/>
  <c r="L17" i="10" s="1"/>
  <c r="I13" i="10"/>
  <c r="N13" i="10" s="1"/>
  <c r="O13" i="10" s="1"/>
  <c r="J38" i="10"/>
  <c r="K38" i="10" s="1"/>
  <c r="L38" i="10" s="1"/>
  <c r="I44" i="10"/>
  <c r="N44" i="10" s="1"/>
  <c r="O44" i="10" s="1"/>
  <c r="J46" i="10"/>
  <c r="K46" i="10" s="1"/>
  <c r="L46" i="10" s="1"/>
  <c r="J29" i="10" l="1"/>
  <c r="K29" i="10" s="1"/>
  <c r="L29" i="10" s="1"/>
  <c r="J13" i="10"/>
  <c r="K13" i="10" s="1"/>
  <c r="L13" i="10" s="1"/>
  <c r="J44" i="10"/>
  <c r="K44" i="10" s="1"/>
  <c r="L44" i="10" s="1"/>
</calcChain>
</file>

<file path=xl/sharedStrings.xml><?xml version="1.0" encoding="utf-8"?>
<sst xmlns="http://schemas.openxmlformats.org/spreadsheetml/2006/main" count="346" uniqueCount="65">
  <si>
    <t>Material</t>
  </si>
  <si>
    <t>Datum von</t>
  </si>
  <si>
    <t>Datum bis</t>
  </si>
  <si>
    <t>Minimaler Sicherheitsbestand</t>
  </si>
  <si>
    <t>Maximaler Sicherheitsbestand</t>
  </si>
  <si>
    <t>Frei verwendbar</t>
  </si>
  <si>
    <t>Artikelbezeichnung</t>
  </si>
  <si>
    <t xml:space="preserve">Monatliche Prognose APO </t>
  </si>
  <si>
    <t xml:space="preserve"> </t>
  </si>
  <si>
    <t>Materialbezeichnung</t>
  </si>
  <si>
    <t>LUH</t>
  </si>
  <si>
    <t xml:space="preserve">lf. Nr. </t>
  </si>
  <si>
    <t>Stück</t>
  </si>
  <si>
    <t>Kappe (Staubschutz)</t>
  </si>
  <si>
    <t>Kugellager</t>
  </si>
  <si>
    <t>Schraube (Sechskant)</t>
  </si>
  <si>
    <t>Dichtring</t>
  </si>
  <si>
    <t>Dichtung</t>
  </si>
  <si>
    <t>Federring</t>
  </si>
  <si>
    <t>Scheibe</t>
  </si>
  <si>
    <t>Scheibe (Zahn)</t>
  </si>
  <si>
    <t>Unterlegscheibe</t>
  </si>
  <si>
    <t>Gewindeschraube</t>
  </si>
  <si>
    <t>Federschraubenzug</t>
  </si>
  <si>
    <t>Verbindungsring</t>
  </si>
  <si>
    <t>Splint</t>
  </si>
  <si>
    <t>Gepäcknetz</t>
  </si>
  <si>
    <t>Filter (Durchflussstoff)</t>
  </si>
  <si>
    <t>Filtereinsatz (Ansaugluftfilter)</t>
  </si>
  <si>
    <t>Trockenpatrone</t>
  </si>
  <si>
    <t>Schraube (Innensteckantrieb)</t>
  </si>
  <si>
    <t>Radialdichtung</t>
  </si>
  <si>
    <t>Zahnscheibe</t>
  </si>
  <si>
    <t>Oszillator</t>
  </si>
  <si>
    <t>Stoßdämpfer</t>
  </si>
  <si>
    <t>Ventil</t>
  </si>
  <si>
    <t>Schutzschalter</t>
  </si>
  <si>
    <t>Schraube</t>
  </si>
  <si>
    <t>Stopfen</t>
  </si>
  <si>
    <t xml:space="preserve">Schraube (mit Kopf) </t>
  </si>
  <si>
    <t>Annährungsschlater</t>
  </si>
  <si>
    <t>Linse</t>
  </si>
  <si>
    <t>Faltenbalg</t>
  </si>
  <si>
    <t>Schlauchrohr</t>
  </si>
  <si>
    <t>Leuchtenabdeckung</t>
  </si>
  <si>
    <t>Abgasdämpfer</t>
  </si>
  <si>
    <t>Hobelzahn Kettensäge</t>
  </si>
  <si>
    <t xml:space="preserve">Kette </t>
  </si>
  <si>
    <t>Fahrzeugachse</t>
  </si>
  <si>
    <t>Kette (Geschweisst)</t>
  </si>
  <si>
    <t>Feilbock</t>
  </si>
  <si>
    <t>Deckel</t>
  </si>
  <si>
    <t>Markierungsleuchte</t>
  </si>
  <si>
    <t>Artikelnummer</t>
  </si>
  <si>
    <t>Bündnis-Identnummer</t>
  </si>
  <si>
    <t>Anfangsbestand
[Stück]</t>
  </si>
  <si>
    <t>Zugang [Stück]</t>
  </si>
  <si>
    <t>Abgang [Stück]</t>
  </si>
  <si>
    <t>Endbestand
[Stück]</t>
  </si>
  <si>
    <t>durchschnittlicher
 Lagerbestand [Stück]</t>
  </si>
  <si>
    <t>durchschnittlicher
 Lagerdauer [in Tagen]</t>
  </si>
  <si>
    <t>Bedarfsprognose
gemäß APO [quartalsweise]</t>
  </si>
  <si>
    <t>Lagerreichweite [Anzahl Quartale]</t>
  </si>
  <si>
    <t>Lagerreichweite [Anzahl Jahre]</t>
  </si>
  <si>
    <t>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</si>
</sst>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5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14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3" fillId="0" borderId="1" xfId="0" applyFont="1" applyFill="1" applyBorder="1" applyAlignment="1">
      <alignment horizontal="right" vertical="top"/>
    </xf>
    <xf numFmtId="164" fontId="3" fillId="0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3" fontId="3" fillId="0" borderId="1" xfId="0" applyNumberFormat="1" applyFont="1" applyFill="1" applyBorder="1" applyAlignment="1">
      <alignment horizontal="right" vertical="top"/>
    </xf>
    <xf numFmtId="4" fontId="3" fillId="0" borderId="1" xfId="0" applyNumberFormat="1" applyFont="1" applyFill="1" applyBorder="1" applyAlignment="1">
      <alignment vertical="top"/>
    </xf>
    <xf numFmtId="2" fontId="3" fillId="0" borderId="1" xfId="0" applyNumberFormat="1" applyFont="1" applyFill="1" applyBorder="1" applyAlignment="1">
      <alignment vertical="top"/>
    </xf>
    <xf numFmtId="164" fontId="3" fillId="0" borderId="1" xfId="3" applyNumberFormat="1" applyFont="1" applyFill="1" applyBorder="1" applyAlignment="1">
      <alignment vertical="top"/>
    </xf>
    <xf numFmtId="1" fontId="3" fillId="0" borderId="1" xfId="0" applyNumberFormat="1" applyFont="1" applyFill="1" applyBorder="1" applyAlignment="1">
      <alignment vertical="top"/>
    </xf>
    <xf numFmtId="165" fontId="3" fillId="0" borderId="1" xfId="0" applyNumberFormat="1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164" fontId="3" fillId="0" borderId="1" xfId="0" applyNumberFormat="1" applyFont="1" applyFill="1" applyBorder="1" applyAlignment="1">
      <alignment vertical="top"/>
    </xf>
    <xf numFmtId="2" fontId="3" fillId="0" borderId="2" xfId="0" applyNumberFormat="1" applyFont="1" applyFill="1" applyBorder="1" applyAlignment="1">
      <alignment vertical="top"/>
    </xf>
  </cellXfs>
  <cellStyles count="4">
    <cellStyle name="Komma" xfId="1" builtinId="3"/>
    <cellStyle name="Komma 2" xfId="3" xr:uid="{A0815962-97BC-4359-998D-7B9898B7188C}"/>
    <cellStyle name="Standard" xfId="0" builtinId="0"/>
    <cellStyle name="Standard 2" xfId="2" xr:uid="{08DE7916-E37C-4148-B481-5FC051B66D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A7CE-7505-41E6-88FE-7A8A4FCC09E6}">
  <dimension ref="A1:K47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K30" sqref="K30"/>
    </sheetView>
  </sheetViews>
  <sheetFormatPr baseColWidth="10" defaultColWidth="10.85546875" defaultRowHeight="12.75" x14ac:dyDescent="0.2"/>
  <cols>
    <col min="1" max="1" width="10.85546875" style="10"/>
    <col min="2" max="2" width="42.7109375" style="10" bestFit="1" customWidth="1"/>
    <col min="3" max="3" width="26.85546875" style="10" bestFit="1" customWidth="1"/>
    <col min="4" max="4" width="10.85546875" style="10"/>
    <col min="5" max="5" width="22.7109375" style="10" customWidth="1"/>
    <col min="6" max="6" width="21.140625" style="10" customWidth="1"/>
    <col min="7" max="7" width="20.85546875" style="10" customWidth="1"/>
    <col min="8" max="8" width="22.140625" style="10" customWidth="1"/>
    <col min="9" max="9" width="23.85546875" style="10" bestFit="1" customWidth="1"/>
    <col min="11" max="16384" width="10.85546875" style="3"/>
  </cols>
  <sheetData>
    <row r="1" spans="1:11" ht="25.5" x14ac:dyDescent="0.2">
      <c r="A1" s="13" t="s">
        <v>11</v>
      </c>
      <c r="B1" s="13" t="s">
        <v>6</v>
      </c>
      <c r="C1" s="13" t="s">
        <v>53</v>
      </c>
      <c r="D1" s="14" t="s">
        <v>64</v>
      </c>
      <c r="E1" s="13" t="s">
        <v>54</v>
      </c>
      <c r="F1" s="14" t="s">
        <v>3</v>
      </c>
      <c r="G1" s="14" t="s">
        <v>4</v>
      </c>
      <c r="H1" s="13" t="s">
        <v>5</v>
      </c>
      <c r="I1" s="13" t="s">
        <v>7</v>
      </c>
    </row>
    <row r="2" spans="1:11" x14ac:dyDescent="0.2">
      <c r="A2" s="9">
        <v>1</v>
      </c>
      <c r="B2" s="9" t="s">
        <v>13</v>
      </c>
      <c r="C2" s="11">
        <v>356987401</v>
      </c>
      <c r="D2" s="9" t="s">
        <v>12</v>
      </c>
      <c r="E2" s="9">
        <v>121938369</v>
      </c>
      <c r="F2" s="12">
        <v>20629</v>
      </c>
      <c r="G2" s="12">
        <v>26911</v>
      </c>
      <c r="H2" s="9">
        <v>68920</v>
      </c>
      <c r="I2" s="12">
        <v>3582.2</v>
      </c>
    </row>
    <row r="3" spans="1:11" x14ac:dyDescent="0.2">
      <c r="A3" s="9">
        <v>2</v>
      </c>
      <c r="B3" s="9" t="s">
        <v>14</v>
      </c>
      <c r="C3" s="9">
        <v>973156840</v>
      </c>
      <c r="D3" s="9" t="s">
        <v>12</v>
      </c>
      <c r="E3" s="9">
        <v>875324678</v>
      </c>
      <c r="F3" s="12">
        <v>2074</v>
      </c>
      <c r="G3" s="12">
        <v>2541</v>
      </c>
      <c r="H3" s="9">
        <v>3140</v>
      </c>
      <c r="I3" s="12">
        <v>705</v>
      </c>
    </row>
    <row r="4" spans="1:11" x14ac:dyDescent="0.2">
      <c r="A4" s="9">
        <v>3</v>
      </c>
      <c r="B4" s="9" t="s">
        <v>15</v>
      </c>
      <c r="C4" s="9">
        <v>578931478</v>
      </c>
      <c r="D4" s="9" t="s">
        <v>12</v>
      </c>
      <c r="E4" s="9">
        <v>223589647</v>
      </c>
      <c r="F4" s="12">
        <v>1412</v>
      </c>
      <c r="G4" s="12">
        <v>1961</v>
      </c>
      <c r="H4" s="9">
        <v>121158</v>
      </c>
      <c r="I4" s="12">
        <v>400</v>
      </c>
    </row>
    <row r="5" spans="1:11" x14ac:dyDescent="0.2">
      <c r="A5" s="9">
        <v>4</v>
      </c>
      <c r="B5" s="9" t="s">
        <v>16</v>
      </c>
      <c r="C5" s="9">
        <v>976258743</v>
      </c>
      <c r="D5" s="9" t="s">
        <v>12</v>
      </c>
      <c r="E5" s="9">
        <v>245879631</v>
      </c>
      <c r="F5" s="12">
        <v>1110</v>
      </c>
      <c r="G5" s="12">
        <v>1527</v>
      </c>
      <c r="H5" s="9">
        <v>7844</v>
      </c>
      <c r="I5" s="12">
        <v>301</v>
      </c>
    </row>
    <row r="6" spans="1:11" x14ac:dyDescent="0.2">
      <c r="A6" s="9">
        <v>5</v>
      </c>
      <c r="B6" s="9" t="s">
        <v>17</v>
      </c>
      <c r="C6" s="9">
        <v>488369720</v>
      </c>
      <c r="D6" s="9" t="s">
        <v>12</v>
      </c>
      <c r="E6" s="9">
        <v>123125786</v>
      </c>
      <c r="F6" s="12">
        <v>899</v>
      </c>
      <c r="G6" s="12">
        <v>1374</v>
      </c>
      <c r="H6" s="9">
        <v>7171</v>
      </c>
      <c r="I6" s="12">
        <v>290</v>
      </c>
      <c r="K6" s="3" t="s">
        <v>8</v>
      </c>
    </row>
    <row r="7" spans="1:11" x14ac:dyDescent="0.2">
      <c r="A7" s="9">
        <v>6</v>
      </c>
      <c r="B7" s="9" t="s">
        <v>18</v>
      </c>
      <c r="C7" s="9">
        <v>658742031</v>
      </c>
      <c r="D7" s="9" t="s">
        <v>12</v>
      </c>
      <c r="E7" s="9">
        <v>121420567</v>
      </c>
      <c r="F7" s="12">
        <v>1077</v>
      </c>
      <c r="G7" s="12">
        <v>1333</v>
      </c>
      <c r="H7" s="9">
        <v>20017</v>
      </c>
      <c r="I7" s="12">
        <v>250</v>
      </c>
    </row>
    <row r="8" spans="1:11" x14ac:dyDescent="0.2">
      <c r="A8" s="9">
        <v>7</v>
      </c>
      <c r="B8" s="9" t="s">
        <v>19</v>
      </c>
      <c r="C8" s="9">
        <v>698742368</v>
      </c>
      <c r="D8" s="9" t="s">
        <v>12</v>
      </c>
      <c r="E8" s="9">
        <v>211475021</v>
      </c>
      <c r="F8" s="12">
        <v>927</v>
      </c>
      <c r="G8" s="12">
        <v>1283</v>
      </c>
      <c r="H8" s="9">
        <v>21194</v>
      </c>
      <c r="I8" s="12">
        <v>240</v>
      </c>
    </row>
    <row r="9" spans="1:11" x14ac:dyDescent="0.2">
      <c r="A9" s="9">
        <v>8</v>
      </c>
      <c r="B9" s="9" t="s">
        <v>20</v>
      </c>
      <c r="C9" s="9">
        <v>752147896</v>
      </c>
      <c r="D9" s="9" t="s">
        <v>12</v>
      </c>
      <c r="E9" s="9">
        <v>121514547</v>
      </c>
      <c r="F9" s="12">
        <v>799</v>
      </c>
      <c r="G9" s="12">
        <v>1072</v>
      </c>
      <c r="H9" s="9">
        <v>4152</v>
      </c>
      <c r="I9" s="12">
        <v>200</v>
      </c>
    </row>
    <row r="10" spans="1:11" x14ac:dyDescent="0.2">
      <c r="A10" s="9">
        <v>9</v>
      </c>
      <c r="B10" s="9" t="s">
        <v>21</v>
      </c>
      <c r="C10" s="9">
        <v>698753010</v>
      </c>
      <c r="D10" s="9" t="s">
        <v>12</v>
      </c>
      <c r="E10" s="9">
        <v>123617859</v>
      </c>
      <c r="F10" s="12">
        <v>792</v>
      </c>
      <c r="G10" s="12">
        <v>991</v>
      </c>
      <c r="H10" s="9">
        <v>400</v>
      </c>
      <c r="I10" s="12">
        <v>98</v>
      </c>
    </row>
    <row r="11" spans="1:11" x14ac:dyDescent="0.2">
      <c r="A11" s="9">
        <v>10</v>
      </c>
      <c r="B11" s="9" t="s">
        <v>14</v>
      </c>
      <c r="C11" s="9">
        <v>102354780</v>
      </c>
      <c r="D11" s="9" t="s">
        <v>12</v>
      </c>
      <c r="E11" s="9">
        <v>453576285</v>
      </c>
      <c r="F11" s="12">
        <v>794</v>
      </c>
      <c r="G11" s="12">
        <v>918</v>
      </c>
      <c r="H11" s="9">
        <v>9241</v>
      </c>
      <c r="I11" s="12">
        <v>145</v>
      </c>
    </row>
    <row r="12" spans="1:11" x14ac:dyDescent="0.2">
      <c r="A12" s="9">
        <v>11</v>
      </c>
      <c r="B12" s="9" t="s">
        <v>22</v>
      </c>
      <c r="C12" s="9">
        <v>259874130</v>
      </c>
      <c r="D12" s="9" t="s">
        <v>12</v>
      </c>
      <c r="E12" s="9">
        <v>353048502</v>
      </c>
      <c r="F12" s="12">
        <v>880</v>
      </c>
      <c r="G12" s="12">
        <v>908</v>
      </c>
      <c r="H12" s="9">
        <v>20016</v>
      </c>
      <c r="I12" s="12">
        <v>127</v>
      </c>
    </row>
    <row r="13" spans="1:11" x14ac:dyDescent="0.2">
      <c r="A13" s="9">
        <v>12</v>
      </c>
      <c r="B13" s="9" t="s">
        <v>20</v>
      </c>
      <c r="C13" s="9">
        <v>214789540</v>
      </c>
      <c r="D13" s="9" t="s">
        <v>12</v>
      </c>
      <c r="E13" s="9">
        <v>121568756</v>
      </c>
      <c r="F13" s="12">
        <v>699</v>
      </c>
      <c r="G13" s="12">
        <v>890</v>
      </c>
      <c r="H13" s="9">
        <v>46208</v>
      </c>
      <c r="I13" s="12">
        <v>150</v>
      </c>
    </row>
    <row r="14" spans="1:11" x14ac:dyDescent="0.2">
      <c r="A14" s="9">
        <v>13</v>
      </c>
      <c r="B14" s="9" t="s">
        <v>23</v>
      </c>
      <c r="C14" s="9">
        <v>987453210</v>
      </c>
      <c r="D14" s="9" t="s">
        <v>12</v>
      </c>
      <c r="E14" s="9">
        <v>121777503</v>
      </c>
      <c r="F14" s="12">
        <v>505</v>
      </c>
      <c r="G14" s="12">
        <v>884</v>
      </c>
      <c r="H14" s="9">
        <v>2642</v>
      </c>
      <c r="I14" s="12">
        <v>100</v>
      </c>
    </row>
    <row r="15" spans="1:11" x14ac:dyDescent="0.2">
      <c r="A15" s="9">
        <v>14</v>
      </c>
      <c r="B15" s="9" t="s">
        <v>24</v>
      </c>
      <c r="C15" s="9">
        <v>789650214</v>
      </c>
      <c r="D15" s="9" t="s">
        <v>12</v>
      </c>
      <c r="E15" s="9">
        <v>121888776</v>
      </c>
      <c r="F15" s="12">
        <v>415</v>
      </c>
      <c r="G15" s="12">
        <v>861</v>
      </c>
      <c r="H15" s="9">
        <v>1176</v>
      </c>
      <c r="I15" s="12">
        <v>97</v>
      </c>
    </row>
    <row r="16" spans="1:11" x14ac:dyDescent="0.2">
      <c r="A16" s="9">
        <v>15</v>
      </c>
      <c r="B16" s="9" t="s">
        <v>25</v>
      </c>
      <c r="C16" s="9">
        <v>147896576</v>
      </c>
      <c r="D16" s="9" t="s">
        <v>12</v>
      </c>
      <c r="E16" s="9">
        <v>543468384</v>
      </c>
      <c r="F16" s="12">
        <v>700</v>
      </c>
      <c r="G16" s="12">
        <v>859</v>
      </c>
      <c r="H16" s="9">
        <v>11</v>
      </c>
      <c r="I16" s="12">
        <v>56</v>
      </c>
    </row>
    <row r="17" spans="1:9" x14ac:dyDescent="0.2">
      <c r="A17" s="9">
        <v>16</v>
      </c>
      <c r="B17" s="9" t="s">
        <v>26</v>
      </c>
      <c r="C17" s="9">
        <v>217856258</v>
      </c>
      <c r="D17" s="9" t="s">
        <v>12</v>
      </c>
      <c r="E17" s="9">
        <v>123387464</v>
      </c>
      <c r="F17" s="12">
        <v>402</v>
      </c>
      <c r="G17" s="12">
        <v>663</v>
      </c>
      <c r="H17" s="9">
        <v>17213</v>
      </c>
      <c r="I17" s="12">
        <v>120</v>
      </c>
    </row>
    <row r="18" spans="1:9" x14ac:dyDescent="0.2">
      <c r="A18" s="9">
        <v>17</v>
      </c>
      <c r="B18" s="9" t="s">
        <v>27</v>
      </c>
      <c r="C18" s="9">
        <v>586971430</v>
      </c>
      <c r="D18" s="9" t="s">
        <v>12</v>
      </c>
      <c r="E18" s="9">
        <v>145708964</v>
      </c>
      <c r="F18" s="12">
        <v>399</v>
      </c>
      <c r="G18" s="12">
        <v>633</v>
      </c>
      <c r="H18" s="9">
        <v>98</v>
      </c>
      <c r="I18" s="12">
        <v>120</v>
      </c>
    </row>
    <row r="19" spans="1:9" x14ac:dyDescent="0.2">
      <c r="A19" s="9">
        <v>18</v>
      </c>
      <c r="B19" s="9" t="s">
        <v>28</v>
      </c>
      <c r="C19" s="9">
        <v>201468734</v>
      </c>
      <c r="D19" s="9" t="s">
        <v>12</v>
      </c>
      <c r="E19" s="9">
        <v>123480885</v>
      </c>
      <c r="F19" s="12">
        <v>700</v>
      </c>
      <c r="G19" s="12">
        <v>603</v>
      </c>
      <c r="H19" s="9">
        <v>277</v>
      </c>
      <c r="I19" s="12">
        <v>150</v>
      </c>
    </row>
    <row r="20" spans="1:9" x14ac:dyDescent="0.2">
      <c r="A20" s="9">
        <v>19</v>
      </c>
      <c r="B20" s="9" t="s">
        <v>21</v>
      </c>
      <c r="C20" s="9">
        <v>398712056</v>
      </c>
      <c r="D20" s="9" t="s">
        <v>12</v>
      </c>
      <c r="E20" s="9">
        <v>123146431</v>
      </c>
      <c r="F20" s="12">
        <v>350</v>
      </c>
      <c r="G20" s="12">
        <v>577</v>
      </c>
      <c r="H20" s="9">
        <v>6118</v>
      </c>
      <c r="I20" s="12">
        <v>114</v>
      </c>
    </row>
    <row r="21" spans="1:9" x14ac:dyDescent="0.2">
      <c r="A21" s="9">
        <v>20</v>
      </c>
      <c r="B21" s="9" t="s">
        <v>29</v>
      </c>
      <c r="C21" s="9">
        <v>697521001</v>
      </c>
      <c r="D21" s="9" t="s">
        <v>12</v>
      </c>
      <c r="E21" s="9">
        <v>121585486</v>
      </c>
      <c r="F21" s="12">
        <v>630</v>
      </c>
      <c r="G21" s="12">
        <v>576</v>
      </c>
      <c r="H21" s="9">
        <v>922</v>
      </c>
      <c r="I21" s="12">
        <v>114</v>
      </c>
    </row>
    <row r="22" spans="1:9" x14ac:dyDescent="0.2">
      <c r="A22" s="9">
        <v>21</v>
      </c>
      <c r="B22" s="9" t="s">
        <v>30</v>
      </c>
      <c r="C22" s="9">
        <v>403587047</v>
      </c>
      <c r="D22" s="9" t="s">
        <v>12</v>
      </c>
      <c r="E22" s="9">
        <v>185789822</v>
      </c>
      <c r="F22" s="12">
        <v>714</v>
      </c>
      <c r="G22" s="12">
        <v>550</v>
      </c>
      <c r="H22" s="9">
        <v>6748</v>
      </c>
      <c r="I22" s="12">
        <v>187</v>
      </c>
    </row>
    <row r="23" spans="1:9" x14ac:dyDescent="0.2">
      <c r="A23" s="9">
        <v>22</v>
      </c>
      <c r="B23" s="9" t="s">
        <v>31</v>
      </c>
      <c r="C23" s="9">
        <v>250360478</v>
      </c>
      <c r="D23" s="9" t="s">
        <v>12</v>
      </c>
      <c r="E23" s="9">
        <v>121938376</v>
      </c>
      <c r="F23" s="12">
        <v>363</v>
      </c>
      <c r="G23" s="12">
        <v>540</v>
      </c>
      <c r="H23" s="9">
        <v>1852</v>
      </c>
      <c r="I23" s="12">
        <v>108</v>
      </c>
    </row>
    <row r="24" spans="1:9" x14ac:dyDescent="0.2">
      <c r="A24" s="9">
        <v>23</v>
      </c>
      <c r="B24" s="9" t="s">
        <v>32</v>
      </c>
      <c r="C24" s="9">
        <v>369712587</v>
      </c>
      <c r="D24" s="9" t="s">
        <v>12</v>
      </c>
      <c r="E24" s="9">
        <v>124775752</v>
      </c>
      <c r="F24" s="12">
        <v>151</v>
      </c>
      <c r="G24" s="12">
        <v>74</v>
      </c>
      <c r="H24" s="9">
        <v>57</v>
      </c>
      <c r="I24" s="12">
        <v>25</v>
      </c>
    </row>
    <row r="25" spans="1:9" x14ac:dyDescent="0.2">
      <c r="A25" s="9">
        <v>24</v>
      </c>
      <c r="B25" s="9" t="s">
        <v>33</v>
      </c>
      <c r="C25" s="9">
        <v>236547852</v>
      </c>
      <c r="D25" s="9" t="s">
        <v>12</v>
      </c>
      <c r="E25" s="9">
        <v>815326889</v>
      </c>
      <c r="F25" s="12">
        <v>420</v>
      </c>
      <c r="G25" s="12">
        <v>48</v>
      </c>
      <c r="H25" s="9">
        <v>42</v>
      </c>
      <c r="I25" s="12">
        <v>78</v>
      </c>
    </row>
    <row r="26" spans="1:9" x14ac:dyDescent="0.2">
      <c r="A26" s="9">
        <v>25</v>
      </c>
      <c r="B26" s="9" t="s">
        <v>34</v>
      </c>
      <c r="C26" s="9">
        <v>258963214</v>
      </c>
      <c r="D26" s="9" t="s">
        <v>12</v>
      </c>
      <c r="E26" s="9">
        <v>953153749</v>
      </c>
      <c r="F26" s="12">
        <v>360</v>
      </c>
      <c r="G26" s="12">
        <v>36</v>
      </c>
      <c r="H26" s="9">
        <v>43</v>
      </c>
      <c r="I26" s="12">
        <v>24</v>
      </c>
    </row>
    <row r="27" spans="1:9" x14ac:dyDescent="0.2">
      <c r="A27" s="9">
        <v>26</v>
      </c>
      <c r="B27" s="9" t="s">
        <v>15</v>
      </c>
      <c r="C27" s="9">
        <v>987123650</v>
      </c>
      <c r="D27" s="9" t="s">
        <v>12</v>
      </c>
      <c r="E27" s="9">
        <v>124146338</v>
      </c>
      <c r="F27" s="12">
        <v>758</v>
      </c>
      <c r="G27" s="12">
        <v>25</v>
      </c>
      <c r="H27" s="9">
        <v>180</v>
      </c>
      <c r="I27" s="12">
        <v>90</v>
      </c>
    </row>
    <row r="28" spans="1:9" x14ac:dyDescent="0.2">
      <c r="A28" s="9">
        <v>27</v>
      </c>
      <c r="B28" s="9" t="s">
        <v>26</v>
      </c>
      <c r="C28" s="9">
        <v>258369147</v>
      </c>
      <c r="D28" s="9" t="s">
        <v>12</v>
      </c>
      <c r="E28" s="9">
        <v>124171965</v>
      </c>
      <c r="F28" s="12">
        <v>954</v>
      </c>
      <c r="G28" s="12">
        <v>35</v>
      </c>
      <c r="H28" s="9">
        <v>43</v>
      </c>
      <c r="I28" s="12">
        <v>11</v>
      </c>
    </row>
    <row r="29" spans="1:9" x14ac:dyDescent="0.2">
      <c r="A29" s="9">
        <v>28</v>
      </c>
      <c r="B29" s="9" t="s">
        <v>35</v>
      </c>
      <c r="C29" s="9">
        <v>369874522</v>
      </c>
      <c r="D29" s="9" t="s">
        <v>12</v>
      </c>
      <c r="E29" s="9">
        <v>996362946</v>
      </c>
      <c r="F29" s="12">
        <v>126</v>
      </c>
      <c r="G29" s="12">
        <v>47</v>
      </c>
      <c r="H29" s="9">
        <v>45</v>
      </c>
      <c r="I29" s="12">
        <v>10</v>
      </c>
    </row>
    <row r="30" spans="1:9" x14ac:dyDescent="0.2">
      <c r="A30" s="9">
        <v>29</v>
      </c>
      <c r="B30" s="9" t="s">
        <v>36</v>
      </c>
      <c r="C30" s="9">
        <v>329865147</v>
      </c>
      <c r="D30" s="9" t="s">
        <v>12</v>
      </c>
      <c r="E30" s="9">
        <v>124457098</v>
      </c>
      <c r="F30" s="12">
        <v>352</v>
      </c>
      <c r="G30" s="12">
        <v>85</v>
      </c>
      <c r="H30" s="9">
        <v>23</v>
      </c>
      <c r="I30" s="12">
        <v>35</v>
      </c>
    </row>
    <row r="31" spans="1:9" x14ac:dyDescent="0.2">
      <c r="A31" s="9">
        <v>30</v>
      </c>
      <c r="B31" s="9" t="s">
        <v>37</v>
      </c>
      <c r="C31" s="9">
        <v>659832741</v>
      </c>
      <c r="D31" s="9" t="s">
        <v>12</v>
      </c>
      <c r="E31" s="9">
        <v>124154003</v>
      </c>
      <c r="F31" s="12">
        <v>759</v>
      </c>
      <c r="G31" s="12">
        <v>98</v>
      </c>
      <c r="H31" s="9">
        <v>150</v>
      </c>
      <c r="I31" s="12">
        <v>64</v>
      </c>
    </row>
    <row r="32" spans="1:9" x14ac:dyDescent="0.2">
      <c r="A32" s="9">
        <v>31</v>
      </c>
      <c r="B32" s="9" t="s">
        <v>38</v>
      </c>
      <c r="C32" s="9">
        <v>201478963</v>
      </c>
      <c r="D32" s="9" t="s">
        <v>12</v>
      </c>
      <c r="E32" s="9">
        <v>126842176</v>
      </c>
      <c r="F32" s="12">
        <v>352</v>
      </c>
      <c r="G32" s="12">
        <v>63</v>
      </c>
      <c r="H32" s="9">
        <v>100</v>
      </c>
      <c r="I32" s="12">
        <v>50</v>
      </c>
    </row>
    <row r="33" spans="1:9" x14ac:dyDescent="0.2">
      <c r="A33" s="9">
        <v>32</v>
      </c>
      <c r="B33" s="9" t="s">
        <v>39</v>
      </c>
      <c r="C33" s="9">
        <v>369874125</v>
      </c>
      <c r="D33" s="9" t="s">
        <v>12</v>
      </c>
      <c r="E33" s="9">
        <v>123636190</v>
      </c>
      <c r="F33" s="12">
        <v>30</v>
      </c>
      <c r="G33" s="12">
        <v>41</v>
      </c>
      <c r="H33" s="9">
        <v>100</v>
      </c>
      <c r="I33" s="12">
        <v>98</v>
      </c>
    </row>
    <row r="34" spans="1:9" x14ac:dyDescent="0.2">
      <c r="A34" s="9">
        <v>33</v>
      </c>
      <c r="B34" s="9" t="s">
        <v>21</v>
      </c>
      <c r="C34" s="9">
        <v>253681425</v>
      </c>
      <c r="D34" s="9" t="s">
        <v>12</v>
      </c>
      <c r="E34" s="9">
        <v>124967780</v>
      </c>
      <c r="F34" s="12">
        <v>189</v>
      </c>
      <c r="G34" s="12">
        <v>78</v>
      </c>
      <c r="H34" s="9">
        <v>250</v>
      </c>
      <c r="I34" s="12">
        <v>300</v>
      </c>
    </row>
    <row r="35" spans="1:9" x14ac:dyDescent="0.2">
      <c r="A35" s="9">
        <v>34</v>
      </c>
      <c r="B35" s="9" t="s">
        <v>40</v>
      </c>
      <c r="C35" s="9">
        <v>794613528</v>
      </c>
      <c r="D35" s="9" t="s">
        <v>12</v>
      </c>
      <c r="E35" s="9">
        <v>123750123</v>
      </c>
      <c r="F35" s="12">
        <v>187</v>
      </c>
      <c r="G35" s="12">
        <v>90</v>
      </c>
      <c r="H35" s="9">
        <v>29</v>
      </c>
      <c r="I35" s="12">
        <v>75</v>
      </c>
    </row>
    <row r="36" spans="1:9" x14ac:dyDescent="0.2">
      <c r="A36" s="9">
        <v>35</v>
      </c>
      <c r="B36" s="9" t="s">
        <v>41</v>
      </c>
      <c r="C36" s="9">
        <v>286314820</v>
      </c>
      <c r="D36" s="9" t="s">
        <v>12</v>
      </c>
      <c r="E36" s="9">
        <v>123457933</v>
      </c>
      <c r="F36" s="12">
        <v>996</v>
      </c>
      <c r="G36" s="12">
        <v>80</v>
      </c>
      <c r="H36" s="9">
        <v>33</v>
      </c>
      <c r="I36" s="12">
        <v>35</v>
      </c>
    </row>
    <row r="37" spans="1:9" x14ac:dyDescent="0.2">
      <c r="A37" s="9">
        <v>36</v>
      </c>
      <c r="B37" s="9" t="s">
        <v>42</v>
      </c>
      <c r="C37" s="9">
        <v>333665478</v>
      </c>
      <c r="D37" s="9" t="s">
        <v>12</v>
      </c>
      <c r="E37" s="9">
        <v>123739860</v>
      </c>
      <c r="F37" s="12">
        <v>875</v>
      </c>
      <c r="G37" s="12">
        <v>52</v>
      </c>
      <c r="H37" s="9">
        <v>10</v>
      </c>
      <c r="I37" s="12">
        <v>90</v>
      </c>
    </row>
    <row r="38" spans="1:9" x14ac:dyDescent="0.2">
      <c r="A38" s="9">
        <v>37</v>
      </c>
      <c r="B38" s="9" t="s">
        <v>43</v>
      </c>
      <c r="C38" s="9">
        <v>995432017</v>
      </c>
      <c r="D38" s="9" t="s">
        <v>12</v>
      </c>
      <c r="E38" s="9">
        <v>422240969</v>
      </c>
      <c r="F38" s="12">
        <v>369</v>
      </c>
      <c r="G38" s="12">
        <v>45</v>
      </c>
      <c r="H38" s="9">
        <v>24</v>
      </c>
      <c r="I38" s="12">
        <v>48</v>
      </c>
    </row>
    <row r="39" spans="1:9" x14ac:dyDescent="0.2">
      <c r="A39" s="9">
        <v>38</v>
      </c>
      <c r="B39" s="9" t="s">
        <v>44</v>
      </c>
      <c r="C39" s="9">
        <v>783695210</v>
      </c>
      <c r="D39" s="9" t="s">
        <v>12</v>
      </c>
      <c r="E39" s="9">
        <v>422248869</v>
      </c>
      <c r="F39" s="12">
        <v>789</v>
      </c>
      <c r="G39" s="12">
        <v>70</v>
      </c>
      <c r="H39" s="9">
        <v>12</v>
      </c>
      <c r="I39" s="12">
        <v>37</v>
      </c>
    </row>
    <row r="40" spans="1:9" x14ac:dyDescent="0.2">
      <c r="A40" s="9">
        <v>39</v>
      </c>
      <c r="B40" s="9" t="s">
        <v>45</v>
      </c>
      <c r="C40" s="9">
        <v>127869354</v>
      </c>
      <c r="D40" s="9" t="s">
        <v>12</v>
      </c>
      <c r="E40" s="9">
        <v>133167588</v>
      </c>
      <c r="F40" s="12">
        <v>456</v>
      </c>
      <c r="G40" s="12">
        <v>45</v>
      </c>
      <c r="H40" s="9">
        <v>10</v>
      </c>
      <c r="I40" s="12">
        <v>45</v>
      </c>
    </row>
    <row r="41" spans="1:9" x14ac:dyDescent="0.2">
      <c r="A41" s="9">
        <v>40</v>
      </c>
      <c r="B41" s="9" t="s">
        <v>46</v>
      </c>
      <c r="C41" s="9">
        <v>410236987</v>
      </c>
      <c r="D41" s="9" t="s">
        <v>12</v>
      </c>
      <c r="E41" s="9">
        <v>314215400</v>
      </c>
      <c r="F41" s="12">
        <v>80</v>
      </c>
      <c r="G41" s="12">
        <v>63</v>
      </c>
      <c r="H41" s="9">
        <v>34</v>
      </c>
      <c r="I41" s="12">
        <v>30</v>
      </c>
    </row>
    <row r="42" spans="1:9" x14ac:dyDescent="0.2">
      <c r="A42" s="9">
        <v>41</v>
      </c>
      <c r="B42" s="9" t="s">
        <v>47</v>
      </c>
      <c r="C42" s="9">
        <v>753159847</v>
      </c>
      <c r="D42" s="9" t="s">
        <v>12</v>
      </c>
      <c r="E42" s="9">
        <v>124215405</v>
      </c>
      <c r="F42" s="12">
        <v>475</v>
      </c>
      <c r="G42" s="12">
        <v>17</v>
      </c>
      <c r="H42" s="9">
        <v>34</v>
      </c>
      <c r="I42" s="12">
        <v>30</v>
      </c>
    </row>
    <row r="43" spans="1:9" x14ac:dyDescent="0.2">
      <c r="A43" s="9">
        <v>42</v>
      </c>
      <c r="B43" s="9" t="s">
        <v>48</v>
      </c>
      <c r="C43" s="9">
        <v>789321456</v>
      </c>
      <c r="D43" s="9" t="s">
        <v>12</v>
      </c>
      <c r="E43" s="9">
        <v>124122113</v>
      </c>
      <c r="F43" s="12">
        <v>56</v>
      </c>
      <c r="G43" s="12">
        <v>78</v>
      </c>
      <c r="H43" s="9">
        <v>12</v>
      </c>
      <c r="I43" s="12">
        <v>45</v>
      </c>
    </row>
    <row r="44" spans="1:9" x14ac:dyDescent="0.2">
      <c r="A44" s="9">
        <v>43</v>
      </c>
      <c r="B44" s="9" t="s">
        <v>49</v>
      </c>
      <c r="C44" s="9">
        <v>204587456</v>
      </c>
      <c r="D44" s="9" t="s">
        <v>12</v>
      </c>
      <c r="E44" s="9">
        <v>124233362</v>
      </c>
      <c r="F44" s="12">
        <v>396</v>
      </c>
      <c r="G44" s="12">
        <v>20</v>
      </c>
      <c r="H44" s="9">
        <v>15</v>
      </c>
      <c r="I44" s="12">
        <v>45</v>
      </c>
    </row>
    <row r="45" spans="1:9" x14ac:dyDescent="0.2">
      <c r="A45" s="9">
        <v>44</v>
      </c>
      <c r="B45" s="9" t="s">
        <v>50</v>
      </c>
      <c r="C45" s="9">
        <v>857674020</v>
      </c>
      <c r="D45" s="9" t="s">
        <v>12</v>
      </c>
      <c r="E45" s="9">
        <v>124216777</v>
      </c>
      <c r="F45" s="12">
        <v>657</v>
      </c>
      <c r="G45" s="12">
        <v>14</v>
      </c>
      <c r="H45" s="9">
        <v>499</v>
      </c>
      <c r="I45" s="12">
        <v>100</v>
      </c>
    </row>
    <row r="46" spans="1:9" x14ac:dyDescent="0.2">
      <c r="A46" s="9">
        <v>45</v>
      </c>
      <c r="B46" s="9" t="s">
        <v>51</v>
      </c>
      <c r="C46" s="9">
        <v>857674721</v>
      </c>
      <c r="D46" s="9" t="s">
        <v>12</v>
      </c>
      <c r="E46" s="9">
        <v>417459865</v>
      </c>
      <c r="F46" s="12">
        <v>440</v>
      </c>
      <c r="G46" s="12">
        <v>15</v>
      </c>
      <c r="H46" s="9">
        <v>25</v>
      </c>
      <c r="I46" s="12">
        <v>25</v>
      </c>
    </row>
    <row r="47" spans="1:9" x14ac:dyDescent="0.2">
      <c r="A47" s="9">
        <v>46</v>
      </c>
      <c r="B47" s="9" t="s">
        <v>52</v>
      </c>
      <c r="C47" s="9">
        <v>986325784</v>
      </c>
      <c r="D47" s="9" t="s">
        <v>12</v>
      </c>
      <c r="E47" s="9">
        <v>124235577</v>
      </c>
      <c r="F47" s="12">
        <v>777</v>
      </c>
      <c r="G47" s="12">
        <v>20</v>
      </c>
      <c r="H47" s="9">
        <v>50</v>
      </c>
      <c r="I47" s="12">
        <v>10</v>
      </c>
    </row>
  </sheetData>
  <autoFilter ref="B1:I47" xr:uid="{FAD7AF9A-B4BE-4746-87BE-02F4E5A7A77E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0B01-9DB8-4CAC-A8C8-3DA6F3C92EBE}">
  <dimension ref="A1:P47"/>
  <sheetViews>
    <sheetView tabSelected="1" zoomScale="90" zoomScaleNormal="90" workbookViewId="0">
      <selection activeCell="I30" sqref="I30"/>
    </sheetView>
  </sheetViews>
  <sheetFormatPr baseColWidth="10" defaultColWidth="8.7109375" defaultRowHeight="12.75" x14ac:dyDescent="0.2"/>
  <cols>
    <col min="1" max="1" width="8.7109375" style="22"/>
    <col min="2" max="2" width="28" style="3" bestFit="1" customWidth="1"/>
    <col min="3" max="3" width="45.85546875" style="3" bestFit="1" customWidth="1"/>
    <col min="4" max="5" width="13" style="3" bestFit="1" customWidth="1"/>
    <col min="6" max="6" width="16" style="10" bestFit="1" customWidth="1"/>
    <col min="7" max="7" width="11.85546875" style="10" bestFit="1" customWidth="1"/>
    <col min="8" max="8" width="12.5703125" style="10" bestFit="1" customWidth="1"/>
    <col min="9" max="9" width="16.140625" style="10" bestFit="1" customWidth="1"/>
    <col min="10" max="10" width="17.28515625" style="10" customWidth="1"/>
    <col min="11" max="11" width="11.42578125" style="10" customWidth="1"/>
    <col min="12" max="12" width="20.85546875" style="10" bestFit="1" customWidth="1"/>
    <col min="13" max="13" width="23" style="10" customWidth="1"/>
    <col min="14" max="14" width="17.5703125" style="10" customWidth="1"/>
    <col min="15" max="15" width="15.5703125" style="10" customWidth="1"/>
    <col min="16" max="16" width="8.7109375" style="10"/>
    <col min="17" max="16384" width="8.7109375" style="3"/>
  </cols>
  <sheetData>
    <row r="1" spans="1:15" ht="38.25" x14ac:dyDescent="0.2">
      <c r="A1" s="4" t="s">
        <v>11</v>
      </c>
      <c r="B1" s="4" t="s">
        <v>0</v>
      </c>
      <c r="C1" s="4" t="s">
        <v>9</v>
      </c>
      <c r="D1" s="4" t="s">
        <v>1</v>
      </c>
      <c r="E1" s="4" t="s">
        <v>2</v>
      </c>
      <c r="F1" s="5" t="s">
        <v>55</v>
      </c>
      <c r="G1" s="5" t="s">
        <v>56</v>
      </c>
      <c r="H1" s="5" t="s">
        <v>57</v>
      </c>
      <c r="I1" s="5" t="s">
        <v>58</v>
      </c>
      <c r="J1" s="6" t="s">
        <v>59</v>
      </c>
      <c r="K1" s="6" t="s">
        <v>10</v>
      </c>
      <c r="L1" s="6" t="s">
        <v>60</v>
      </c>
      <c r="M1" s="6" t="s">
        <v>61</v>
      </c>
      <c r="N1" s="6" t="s">
        <v>62</v>
      </c>
      <c r="O1" s="6" t="s">
        <v>63</v>
      </c>
    </row>
    <row r="2" spans="1:15" x14ac:dyDescent="0.2">
      <c r="A2" s="8">
        <v>1</v>
      </c>
      <c r="B2" s="2">
        <v>356987401</v>
      </c>
      <c r="C2" s="2" t="s">
        <v>13</v>
      </c>
      <c r="D2" s="7">
        <v>45566</v>
      </c>
      <c r="E2" s="7">
        <v>45657</v>
      </c>
      <c r="F2" s="16">
        <v>20000</v>
      </c>
      <c r="G2" s="16">
        <v>7580</v>
      </c>
      <c r="H2" s="16">
        <v>5621</v>
      </c>
      <c r="I2" s="16">
        <f>F2+G2-H2</f>
        <v>21959</v>
      </c>
      <c r="J2" s="17">
        <f t="shared" ref="J2:J47" si="0">(F2+I2)/2</f>
        <v>20979.5</v>
      </c>
      <c r="K2" s="18">
        <f t="shared" ref="K2:K47" si="1">IFERROR(H2/J2,0)</f>
        <v>0.26792821563907626</v>
      </c>
      <c r="L2" s="19">
        <f t="shared" ref="L2:L47" si="2">IFERROR(360/K2,0)</f>
        <v>1343.6434798078633</v>
      </c>
      <c r="M2" s="19">
        <v>25000</v>
      </c>
      <c r="N2" s="20">
        <f>I2/M2</f>
        <v>0.87836000000000003</v>
      </c>
      <c r="O2" s="21">
        <f t="shared" ref="O2:O47" si="3">N2/4</f>
        <v>0.21959000000000001</v>
      </c>
    </row>
    <row r="3" spans="1:15" x14ac:dyDescent="0.2">
      <c r="A3" s="8">
        <v>2</v>
      </c>
      <c r="B3" s="2">
        <v>973156840</v>
      </c>
      <c r="C3" s="2" t="s">
        <v>14</v>
      </c>
      <c r="D3" s="7">
        <v>45566</v>
      </c>
      <c r="E3" s="7">
        <v>45657</v>
      </c>
      <c r="F3" s="16">
        <v>14563</v>
      </c>
      <c r="G3" s="16">
        <v>520</v>
      </c>
      <c r="H3" s="16">
        <v>780</v>
      </c>
      <c r="I3" s="16">
        <f t="shared" ref="I3:I47" si="4">F3+G3-H3</f>
        <v>14303</v>
      </c>
      <c r="J3" s="17">
        <f t="shared" si="0"/>
        <v>14433</v>
      </c>
      <c r="K3" s="18">
        <f t="shared" si="1"/>
        <v>5.4042818540843897E-2</v>
      </c>
      <c r="L3" s="19">
        <f t="shared" si="2"/>
        <v>6661.3846153846152</v>
      </c>
      <c r="M3" s="19">
        <v>2000</v>
      </c>
      <c r="N3" s="20">
        <f t="shared" ref="N3:N47" si="5">I3/M3</f>
        <v>7.1515000000000004</v>
      </c>
      <c r="O3" s="21">
        <f t="shared" si="3"/>
        <v>1.7878750000000001</v>
      </c>
    </row>
    <row r="4" spans="1:15" x14ac:dyDescent="0.2">
      <c r="A4" s="8">
        <v>3</v>
      </c>
      <c r="B4" s="2">
        <v>578931478</v>
      </c>
      <c r="C4" s="2" t="s">
        <v>15</v>
      </c>
      <c r="D4" s="7">
        <v>45566</v>
      </c>
      <c r="E4" s="7">
        <v>45657</v>
      </c>
      <c r="F4" s="16">
        <v>60784</v>
      </c>
      <c r="G4" s="16">
        <v>11465</v>
      </c>
      <c r="H4" s="16">
        <v>69</v>
      </c>
      <c r="I4" s="16">
        <f t="shared" si="4"/>
        <v>72180</v>
      </c>
      <c r="J4" s="17">
        <f t="shared" si="0"/>
        <v>66482</v>
      </c>
      <c r="K4" s="18">
        <f t="shared" si="1"/>
        <v>1.0378749135104238E-3</v>
      </c>
      <c r="L4" s="19">
        <f t="shared" si="2"/>
        <v>346862.60869565222</v>
      </c>
      <c r="M4" s="19">
        <v>500</v>
      </c>
      <c r="N4" s="20">
        <f t="shared" si="5"/>
        <v>144.36000000000001</v>
      </c>
      <c r="O4" s="21">
        <f t="shared" si="3"/>
        <v>36.090000000000003</v>
      </c>
    </row>
    <row r="5" spans="1:15" x14ac:dyDescent="0.2">
      <c r="A5" s="8">
        <v>4</v>
      </c>
      <c r="B5" s="2">
        <v>976258743</v>
      </c>
      <c r="C5" s="2" t="s">
        <v>16</v>
      </c>
      <c r="D5" s="7">
        <v>45566</v>
      </c>
      <c r="E5" s="7">
        <v>45657</v>
      </c>
      <c r="F5" s="16">
        <v>4875</v>
      </c>
      <c r="G5" s="16">
        <v>124</v>
      </c>
      <c r="H5" s="16">
        <v>321</v>
      </c>
      <c r="I5" s="16">
        <f t="shared" si="4"/>
        <v>4678</v>
      </c>
      <c r="J5" s="17">
        <f t="shared" si="0"/>
        <v>4776.5</v>
      </c>
      <c r="K5" s="18">
        <f t="shared" si="1"/>
        <v>6.7204019679681773E-2</v>
      </c>
      <c r="L5" s="19">
        <f t="shared" si="2"/>
        <v>5356.8224299065423</v>
      </c>
      <c r="M5" s="19">
        <v>100</v>
      </c>
      <c r="N5" s="20">
        <f t="shared" si="5"/>
        <v>46.78</v>
      </c>
      <c r="O5" s="21">
        <f t="shared" si="3"/>
        <v>11.695</v>
      </c>
    </row>
    <row r="6" spans="1:15" x14ac:dyDescent="0.2">
      <c r="A6" s="8">
        <v>5</v>
      </c>
      <c r="B6" s="2">
        <v>488369720</v>
      </c>
      <c r="C6" s="2" t="s">
        <v>17</v>
      </c>
      <c r="D6" s="7">
        <v>45566</v>
      </c>
      <c r="E6" s="7">
        <v>45657</v>
      </c>
      <c r="F6" s="16">
        <v>8507</v>
      </c>
      <c r="G6" s="16">
        <v>0</v>
      </c>
      <c r="H6" s="16">
        <v>240</v>
      </c>
      <c r="I6" s="16">
        <f t="shared" si="4"/>
        <v>8267</v>
      </c>
      <c r="J6" s="17">
        <f t="shared" si="0"/>
        <v>8387</v>
      </c>
      <c r="K6" s="18">
        <f t="shared" si="1"/>
        <v>2.8615714796709192E-2</v>
      </c>
      <c r="L6" s="19">
        <f t="shared" si="2"/>
        <v>12580.5</v>
      </c>
      <c r="M6" s="19">
        <v>500</v>
      </c>
      <c r="N6" s="20">
        <f t="shared" si="5"/>
        <v>16.533999999999999</v>
      </c>
      <c r="O6" s="21">
        <f t="shared" si="3"/>
        <v>4.1334999999999997</v>
      </c>
    </row>
    <row r="7" spans="1:15" x14ac:dyDescent="0.2">
      <c r="A7" s="8">
        <v>6</v>
      </c>
      <c r="B7" s="2">
        <v>658742031</v>
      </c>
      <c r="C7" s="2" t="s">
        <v>18</v>
      </c>
      <c r="D7" s="7">
        <v>45566</v>
      </c>
      <c r="E7" s="7">
        <v>45657</v>
      </c>
      <c r="F7" s="16">
        <v>873</v>
      </c>
      <c r="G7" s="16">
        <v>221</v>
      </c>
      <c r="H7" s="16">
        <v>198</v>
      </c>
      <c r="I7" s="16">
        <f t="shared" si="4"/>
        <v>896</v>
      </c>
      <c r="J7" s="17">
        <f t="shared" si="0"/>
        <v>884.5</v>
      </c>
      <c r="K7" s="18">
        <f t="shared" si="1"/>
        <v>0.22385528547201808</v>
      </c>
      <c r="L7" s="19">
        <f t="shared" si="2"/>
        <v>1608.1818181818182</v>
      </c>
      <c r="M7" s="19">
        <v>600</v>
      </c>
      <c r="N7" s="20">
        <f t="shared" si="5"/>
        <v>1.4933333333333334</v>
      </c>
      <c r="O7" s="21">
        <f t="shared" si="3"/>
        <v>0.37333333333333335</v>
      </c>
    </row>
    <row r="8" spans="1:15" x14ac:dyDescent="0.2">
      <c r="A8" s="8">
        <v>7</v>
      </c>
      <c r="B8" s="2">
        <v>698742368</v>
      </c>
      <c r="C8" s="2" t="s">
        <v>19</v>
      </c>
      <c r="D8" s="7">
        <v>45566</v>
      </c>
      <c r="E8" s="7">
        <v>45657</v>
      </c>
      <c r="F8" s="16">
        <v>1256</v>
      </c>
      <c r="G8" s="16">
        <v>150</v>
      </c>
      <c r="H8" s="16">
        <v>301</v>
      </c>
      <c r="I8" s="16">
        <f t="shared" si="4"/>
        <v>1105</v>
      </c>
      <c r="J8" s="17">
        <f t="shared" si="0"/>
        <v>1180.5</v>
      </c>
      <c r="K8" s="18">
        <f t="shared" si="1"/>
        <v>0.25497670478610757</v>
      </c>
      <c r="L8" s="19">
        <f t="shared" si="2"/>
        <v>1411.8936877076412</v>
      </c>
      <c r="M8" s="19">
        <v>900</v>
      </c>
      <c r="N8" s="20">
        <f t="shared" si="5"/>
        <v>1.2277777777777779</v>
      </c>
      <c r="O8" s="21">
        <f t="shared" si="3"/>
        <v>0.30694444444444446</v>
      </c>
    </row>
    <row r="9" spans="1:15" x14ac:dyDescent="0.2">
      <c r="A9" s="8">
        <v>8</v>
      </c>
      <c r="B9" s="2">
        <v>752147896</v>
      </c>
      <c r="C9" s="2" t="s">
        <v>20</v>
      </c>
      <c r="D9" s="7">
        <v>45566</v>
      </c>
      <c r="E9" s="7">
        <v>45657</v>
      </c>
      <c r="F9" s="16">
        <v>3621</v>
      </c>
      <c r="G9" s="16">
        <v>500</v>
      </c>
      <c r="H9" s="16">
        <v>207</v>
      </c>
      <c r="I9" s="16">
        <f t="shared" si="4"/>
        <v>3914</v>
      </c>
      <c r="J9" s="17">
        <f t="shared" si="0"/>
        <v>3767.5</v>
      </c>
      <c r="K9" s="18">
        <f t="shared" si="1"/>
        <v>5.4943596549435966E-2</v>
      </c>
      <c r="L9" s="19">
        <f t="shared" si="2"/>
        <v>6552.173913043478</v>
      </c>
      <c r="M9" s="19">
        <v>400</v>
      </c>
      <c r="N9" s="20">
        <f t="shared" si="5"/>
        <v>9.7850000000000001</v>
      </c>
      <c r="O9" s="21">
        <f t="shared" si="3"/>
        <v>2.44625</v>
      </c>
    </row>
    <row r="10" spans="1:15" x14ac:dyDescent="0.2">
      <c r="A10" s="8">
        <v>9</v>
      </c>
      <c r="B10" s="2">
        <v>698753010</v>
      </c>
      <c r="C10" s="2" t="s">
        <v>21</v>
      </c>
      <c r="D10" s="7">
        <v>45566</v>
      </c>
      <c r="E10" s="7">
        <v>45657</v>
      </c>
      <c r="F10" s="16">
        <v>783</v>
      </c>
      <c r="G10" s="16">
        <v>125</v>
      </c>
      <c r="H10" s="16">
        <v>87</v>
      </c>
      <c r="I10" s="16">
        <f t="shared" si="4"/>
        <v>821</v>
      </c>
      <c r="J10" s="17">
        <f t="shared" si="0"/>
        <v>802</v>
      </c>
      <c r="K10" s="18">
        <f t="shared" si="1"/>
        <v>0.10847880299251871</v>
      </c>
      <c r="L10" s="19">
        <f t="shared" si="2"/>
        <v>3318.6206896551726</v>
      </c>
      <c r="M10" s="19">
        <v>250</v>
      </c>
      <c r="N10" s="20">
        <f t="shared" si="5"/>
        <v>3.2839999999999998</v>
      </c>
      <c r="O10" s="21">
        <f t="shared" si="3"/>
        <v>0.82099999999999995</v>
      </c>
    </row>
    <row r="11" spans="1:15" x14ac:dyDescent="0.2">
      <c r="A11" s="8">
        <v>10</v>
      </c>
      <c r="B11" s="2">
        <v>973156840</v>
      </c>
      <c r="C11" s="2" t="s">
        <v>14</v>
      </c>
      <c r="D11" s="7">
        <v>45566</v>
      </c>
      <c r="E11" s="7">
        <v>45657</v>
      </c>
      <c r="F11" s="16">
        <v>1042</v>
      </c>
      <c r="G11" s="16">
        <v>0</v>
      </c>
      <c r="H11" s="16">
        <v>139</v>
      </c>
      <c r="I11" s="16">
        <f t="shared" si="4"/>
        <v>903</v>
      </c>
      <c r="J11" s="17">
        <f t="shared" si="0"/>
        <v>972.5</v>
      </c>
      <c r="K11" s="18">
        <f t="shared" si="1"/>
        <v>0.14293059125964011</v>
      </c>
      <c r="L11" s="19">
        <f t="shared" si="2"/>
        <v>2518.705035971223</v>
      </c>
      <c r="M11" s="19">
        <v>350</v>
      </c>
      <c r="N11" s="20">
        <f t="shared" si="5"/>
        <v>2.58</v>
      </c>
      <c r="O11" s="21">
        <f t="shared" si="3"/>
        <v>0.64500000000000002</v>
      </c>
    </row>
    <row r="12" spans="1:15" x14ac:dyDescent="0.2">
      <c r="A12" s="8">
        <v>11</v>
      </c>
      <c r="B12" s="2">
        <v>259874130</v>
      </c>
      <c r="C12" s="2" t="s">
        <v>22</v>
      </c>
      <c r="D12" s="7">
        <v>45566</v>
      </c>
      <c r="E12" s="7">
        <v>45657</v>
      </c>
      <c r="F12" s="16">
        <v>3641</v>
      </c>
      <c r="G12" s="16">
        <v>0</v>
      </c>
      <c r="H12" s="16">
        <v>468</v>
      </c>
      <c r="I12" s="16">
        <f t="shared" si="4"/>
        <v>3173</v>
      </c>
      <c r="J12" s="17">
        <f t="shared" si="0"/>
        <v>3407</v>
      </c>
      <c r="K12" s="18">
        <f t="shared" si="1"/>
        <v>0.13736425007337835</v>
      </c>
      <c r="L12" s="19">
        <f t="shared" si="2"/>
        <v>2620.7692307692305</v>
      </c>
      <c r="M12" s="19">
        <v>1000</v>
      </c>
      <c r="N12" s="20">
        <f t="shared" si="5"/>
        <v>3.173</v>
      </c>
      <c r="O12" s="21">
        <f t="shared" si="3"/>
        <v>0.79325000000000001</v>
      </c>
    </row>
    <row r="13" spans="1:15" x14ac:dyDescent="0.2">
      <c r="A13" s="8">
        <v>12</v>
      </c>
      <c r="B13" s="2">
        <v>752147896</v>
      </c>
      <c r="C13" s="2" t="s">
        <v>20</v>
      </c>
      <c r="D13" s="7">
        <v>45566</v>
      </c>
      <c r="E13" s="7">
        <v>45657</v>
      </c>
      <c r="F13" s="16">
        <v>342</v>
      </c>
      <c r="G13" s="16">
        <v>50</v>
      </c>
      <c r="H13" s="16">
        <v>189</v>
      </c>
      <c r="I13" s="16">
        <f t="shared" si="4"/>
        <v>203</v>
      </c>
      <c r="J13" s="17">
        <f t="shared" si="0"/>
        <v>272.5</v>
      </c>
      <c r="K13" s="18">
        <f t="shared" si="1"/>
        <v>0.69357798165137619</v>
      </c>
      <c r="L13" s="19">
        <f t="shared" si="2"/>
        <v>519.04761904761904</v>
      </c>
      <c r="M13" s="19">
        <v>200</v>
      </c>
      <c r="N13" s="20">
        <f t="shared" si="5"/>
        <v>1.0149999999999999</v>
      </c>
      <c r="O13" s="21">
        <f t="shared" si="3"/>
        <v>0.25374999999999998</v>
      </c>
    </row>
    <row r="14" spans="1:15" x14ac:dyDescent="0.2">
      <c r="A14" s="8">
        <v>13</v>
      </c>
      <c r="B14" s="2">
        <v>987453210</v>
      </c>
      <c r="C14" s="2" t="s">
        <v>23</v>
      </c>
      <c r="D14" s="7">
        <v>45566</v>
      </c>
      <c r="E14" s="7">
        <v>45657</v>
      </c>
      <c r="F14" s="16">
        <v>124</v>
      </c>
      <c r="G14" s="16">
        <v>31</v>
      </c>
      <c r="H14" s="16">
        <v>105</v>
      </c>
      <c r="I14" s="16">
        <f t="shared" si="4"/>
        <v>50</v>
      </c>
      <c r="J14" s="17">
        <f t="shared" si="0"/>
        <v>87</v>
      </c>
      <c r="K14" s="18">
        <f t="shared" si="1"/>
        <v>1.2068965517241379</v>
      </c>
      <c r="L14" s="19">
        <f t="shared" si="2"/>
        <v>298.28571428571428</v>
      </c>
      <c r="M14" s="19">
        <v>225</v>
      </c>
      <c r="N14" s="20">
        <f t="shared" si="5"/>
        <v>0.22222222222222221</v>
      </c>
      <c r="O14" s="21">
        <f t="shared" si="3"/>
        <v>5.5555555555555552E-2</v>
      </c>
    </row>
    <row r="15" spans="1:15" x14ac:dyDescent="0.2">
      <c r="A15" s="8">
        <v>14</v>
      </c>
      <c r="B15" s="2">
        <v>789650214</v>
      </c>
      <c r="C15" s="2" t="s">
        <v>24</v>
      </c>
      <c r="D15" s="7">
        <v>45566</v>
      </c>
      <c r="E15" s="7">
        <v>45657</v>
      </c>
      <c r="F15" s="16">
        <v>986</v>
      </c>
      <c r="G15" s="16">
        <v>97</v>
      </c>
      <c r="H15" s="16">
        <v>93</v>
      </c>
      <c r="I15" s="16">
        <f t="shared" si="4"/>
        <v>990</v>
      </c>
      <c r="J15" s="17">
        <f t="shared" si="0"/>
        <v>988</v>
      </c>
      <c r="K15" s="18">
        <f t="shared" si="1"/>
        <v>9.4129554655870445E-2</v>
      </c>
      <c r="L15" s="19">
        <f t="shared" si="2"/>
        <v>3824.516129032258</v>
      </c>
      <c r="M15" s="19">
        <v>124</v>
      </c>
      <c r="N15" s="20">
        <f t="shared" si="5"/>
        <v>7.9838709677419351</v>
      </c>
      <c r="O15" s="21">
        <f t="shared" si="3"/>
        <v>1.9959677419354838</v>
      </c>
    </row>
    <row r="16" spans="1:15" x14ac:dyDescent="0.2">
      <c r="A16" s="8">
        <v>15</v>
      </c>
      <c r="B16" s="2">
        <v>147896576</v>
      </c>
      <c r="C16" s="2" t="s">
        <v>25</v>
      </c>
      <c r="D16" s="7">
        <v>45566</v>
      </c>
      <c r="E16" s="7">
        <v>45657</v>
      </c>
      <c r="F16" s="16">
        <v>19236</v>
      </c>
      <c r="G16" s="16">
        <v>0</v>
      </c>
      <c r="H16" s="16">
        <v>764</v>
      </c>
      <c r="I16" s="16">
        <f t="shared" si="4"/>
        <v>18472</v>
      </c>
      <c r="J16" s="17">
        <f t="shared" si="0"/>
        <v>18854</v>
      </c>
      <c r="K16" s="18">
        <f t="shared" si="1"/>
        <v>4.052190516601252E-2</v>
      </c>
      <c r="L16" s="19">
        <f t="shared" si="2"/>
        <v>8884.0837696335075</v>
      </c>
      <c r="M16" s="19">
        <v>780</v>
      </c>
      <c r="N16" s="20">
        <f t="shared" si="5"/>
        <v>23.682051282051283</v>
      </c>
      <c r="O16" s="21">
        <f t="shared" si="3"/>
        <v>5.9205128205128208</v>
      </c>
    </row>
    <row r="17" spans="1:15" x14ac:dyDescent="0.2">
      <c r="A17" s="8">
        <v>16</v>
      </c>
      <c r="B17" s="2">
        <v>217856258</v>
      </c>
      <c r="C17" s="2" t="s">
        <v>26</v>
      </c>
      <c r="D17" s="7">
        <v>45566</v>
      </c>
      <c r="E17" s="7">
        <v>45657</v>
      </c>
      <c r="F17" s="16">
        <v>18456</v>
      </c>
      <c r="G17" s="16">
        <v>0</v>
      </c>
      <c r="H17" s="16">
        <v>8053</v>
      </c>
      <c r="I17" s="16">
        <f t="shared" si="4"/>
        <v>10403</v>
      </c>
      <c r="J17" s="17">
        <f t="shared" si="0"/>
        <v>14429.5</v>
      </c>
      <c r="K17" s="18">
        <f t="shared" si="1"/>
        <v>0.55809279600817774</v>
      </c>
      <c r="L17" s="19">
        <f t="shared" si="2"/>
        <v>645.05401713647086</v>
      </c>
      <c r="M17" s="19">
        <v>8500</v>
      </c>
      <c r="N17" s="20">
        <f t="shared" si="5"/>
        <v>1.2238823529411764</v>
      </c>
      <c r="O17" s="21">
        <f t="shared" si="3"/>
        <v>0.30597058823529411</v>
      </c>
    </row>
    <row r="18" spans="1:15" x14ac:dyDescent="0.2">
      <c r="A18" s="8">
        <v>17</v>
      </c>
      <c r="B18" s="2">
        <v>586971430</v>
      </c>
      <c r="C18" s="2" t="s">
        <v>27</v>
      </c>
      <c r="D18" s="7">
        <v>45566</v>
      </c>
      <c r="E18" s="7">
        <v>45657</v>
      </c>
      <c r="F18" s="16">
        <v>1480</v>
      </c>
      <c r="G18" s="16">
        <v>120</v>
      </c>
      <c r="H18" s="16">
        <v>201</v>
      </c>
      <c r="I18" s="16">
        <f t="shared" si="4"/>
        <v>1399</v>
      </c>
      <c r="J18" s="17">
        <f t="shared" si="0"/>
        <v>1439.5</v>
      </c>
      <c r="K18" s="18">
        <f t="shared" si="1"/>
        <v>0.13963181660298715</v>
      </c>
      <c r="L18" s="19">
        <f t="shared" si="2"/>
        <v>2578.2089552238804</v>
      </c>
      <c r="M18" s="19">
        <v>250</v>
      </c>
      <c r="N18" s="20">
        <f t="shared" si="5"/>
        <v>5.5960000000000001</v>
      </c>
      <c r="O18" s="21">
        <f t="shared" si="3"/>
        <v>1.399</v>
      </c>
    </row>
    <row r="19" spans="1:15" x14ac:dyDescent="0.2">
      <c r="A19" s="8">
        <v>18</v>
      </c>
      <c r="B19" s="2">
        <v>201468734</v>
      </c>
      <c r="C19" s="2" t="s">
        <v>28</v>
      </c>
      <c r="D19" s="7">
        <v>45566</v>
      </c>
      <c r="E19" s="7">
        <v>45657</v>
      </c>
      <c r="F19" s="16">
        <v>2147</v>
      </c>
      <c r="G19" s="16">
        <v>3</v>
      </c>
      <c r="H19" s="16">
        <v>301</v>
      </c>
      <c r="I19" s="16">
        <f t="shared" si="4"/>
        <v>1849</v>
      </c>
      <c r="J19" s="17">
        <f t="shared" si="0"/>
        <v>1998</v>
      </c>
      <c r="K19" s="18">
        <f t="shared" si="1"/>
        <v>0.15065065065065064</v>
      </c>
      <c r="L19" s="19">
        <f t="shared" si="2"/>
        <v>2389.6345514950167</v>
      </c>
      <c r="M19" s="19">
        <v>361.79999999999995</v>
      </c>
      <c r="N19" s="20">
        <f t="shared" si="5"/>
        <v>5.1105583195135438</v>
      </c>
      <c r="O19" s="21">
        <f t="shared" si="3"/>
        <v>1.2776395798783859</v>
      </c>
    </row>
    <row r="20" spans="1:15" x14ac:dyDescent="0.2">
      <c r="A20" s="8">
        <v>19</v>
      </c>
      <c r="B20" s="2">
        <v>698753010</v>
      </c>
      <c r="C20" s="2" t="s">
        <v>21</v>
      </c>
      <c r="D20" s="7">
        <v>45566</v>
      </c>
      <c r="E20" s="7">
        <v>45657</v>
      </c>
      <c r="F20" s="16">
        <v>7076</v>
      </c>
      <c r="G20" s="16">
        <v>179</v>
      </c>
      <c r="H20" s="16">
        <v>340</v>
      </c>
      <c r="I20" s="16">
        <f t="shared" si="4"/>
        <v>6915</v>
      </c>
      <c r="J20" s="17">
        <f t="shared" si="0"/>
        <v>6995.5</v>
      </c>
      <c r="K20" s="18">
        <f t="shared" si="1"/>
        <v>4.8602673147023087E-2</v>
      </c>
      <c r="L20" s="19">
        <f t="shared" si="2"/>
        <v>7407</v>
      </c>
      <c r="M20" s="19">
        <v>346.20000000000005</v>
      </c>
      <c r="N20" s="20">
        <f t="shared" si="5"/>
        <v>19.974003466204504</v>
      </c>
      <c r="O20" s="21">
        <f t="shared" si="3"/>
        <v>4.993500866551126</v>
      </c>
    </row>
    <row r="21" spans="1:15" x14ac:dyDescent="0.2">
      <c r="A21" s="8">
        <v>20</v>
      </c>
      <c r="B21" s="2">
        <v>697521001</v>
      </c>
      <c r="C21" s="2" t="s">
        <v>29</v>
      </c>
      <c r="D21" s="7">
        <v>45566</v>
      </c>
      <c r="E21" s="7">
        <v>45657</v>
      </c>
      <c r="F21" s="16">
        <v>2035</v>
      </c>
      <c r="G21" s="16">
        <v>400</v>
      </c>
      <c r="H21" s="16">
        <v>456</v>
      </c>
      <c r="I21" s="16">
        <f t="shared" si="4"/>
        <v>1979</v>
      </c>
      <c r="J21" s="17">
        <f t="shared" si="0"/>
        <v>2007</v>
      </c>
      <c r="K21" s="18">
        <f t="shared" si="1"/>
        <v>0.22720478325859492</v>
      </c>
      <c r="L21" s="19">
        <f t="shared" si="2"/>
        <v>1584.4736842105262</v>
      </c>
      <c r="M21" s="19">
        <v>478</v>
      </c>
      <c r="N21" s="20">
        <f t="shared" si="5"/>
        <v>4.1401673640167367</v>
      </c>
      <c r="O21" s="21">
        <f t="shared" si="3"/>
        <v>1.0350418410041842</v>
      </c>
    </row>
    <row r="22" spans="1:15" x14ac:dyDescent="0.2">
      <c r="A22" s="8">
        <v>21</v>
      </c>
      <c r="B22" s="2">
        <v>403587047</v>
      </c>
      <c r="C22" s="2" t="s">
        <v>30</v>
      </c>
      <c r="D22" s="7">
        <v>45566</v>
      </c>
      <c r="E22" s="7">
        <v>45657</v>
      </c>
      <c r="F22" s="16">
        <v>9662</v>
      </c>
      <c r="G22" s="16">
        <v>2</v>
      </c>
      <c r="H22" s="16">
        <v>321</v>
      </c>
      <c r="I22" s="16">
        <f t="shared" si="4"/>
        <v>9343</v>
      </c>
      <c r="J22" s="17">
        <f t="shared" si="0"/>
        <v>9502.5</v>
      </c>
      <c r="K22" s="18">
        <f t="shared" si="1"/>
        <v>3.378058405682715E-2</v>
      </c>
      <c r="L22" s="19">
        <f t="shared" si="2"/>
        <v>10657.009345794393</v>
      </c>
      <c r="M22" s="19">
        <v>330</v>
      </c>
      <c r="N22" s="20">
        <f t="shared" si="5"/>
        <v>28.312121212121212</v>
      </c>
      <c r="O22" s="21">
        <f t="shared" si="3"/>
        <v>7.0780303030303031</v>
      </c>
    </row>
    <row r="23" spans="1:15" x14ac:dyDescent="0.2">
      <c r="A23" s="8">
        <v>22</v>
      </c>
      <c r="B23" s="2">
        <v>250360478</v>
      </c>
      <c r="C23" s="2" t="s">
        <v>31</v>
      </c>
      <c r="D23" s="7">
        <v>45566</v>
      </c>
      <c r="E23" s="7">
        <v>45657</v>
      </c>
      <c r="F23" s="16">
        <v>2785</v>
      </c>
      <c r="G23" s="16">
        <v>360</v>
      </c>
      <c r="H23" s="16">
        <v>320</v>
      </c>
      <c r="I23" s="16">
        <f t="shared" si="4"/>
        <v>2825</v>
      </c>
      <c r="J23" s="17">
        <f t="shared" si="0"/>
        <v>2805</v>
      </c>
      <c r="K23" s="18">
        <f t="shared" si="1"/>
        <v>0.1140819964349376</v>
      </c>
      <c r="L23" s="19">
        <f t="shared" si="2"/>
        <v>3155.625</v>
      </c>
      <c r="M23" s="19">
        <v>324</v>
      </c>
      <c r="N23" s="20">
        <f t="shared" si="5"/>
        <v>8.7191358024691361</v>
      </c>
      <c r="O23" s="21">
        <f t="shared" si="3"/>
        <v>2.179783950617284</v>
      </c>
    </row>
    <row r="24" spans="1:15" x14ac:dyDescent="0.2">
      <c r="A24" s="8">
        <v>23</v>
      </c>
      <c r="B24" s="2">
        <v>369712587</v>
      </c>
      <c r="C24" s="2" t="s">
        <v>32</v>
      </c>
      <c r="D24" s="7">
        <v>45566</v>
      </c>
      <c r="E24" s="7">
        <v>45657</v>
      </c>
      <c r="F24" s="16">
        <v>20</v>
      </c>
      <c r="G24" s="16">
        <v>1904</v>
      </c>
      <c r="H24" s="16">
        <v>267</v>
      </c>
      <c r="I24" s="16">
        <f t="shared" si="4"/>
        <v>1657</v>
      </c>
      <c r="J24" s="17">
        <f t="shared" si="0"/>
        <v>838.5</v>
      </c>
      <c r="K24" s="18">
        <f t="shared" si="1"/>
        <v>0.31842576028622538</v>
      </c>
      <c r="L24" s="19">
        <f t="shared" si="2"/>
        <v>1130.5617977528091</v>
      </c>
      <c r="M24" s="19">
        <v>240</v>
      </c>
      <c r="N24" s="20">
        <f t="shared" si="5"/>
        <v>6.9041666666666668</v>
      </c>
      <c r="O24" s="21">
        <f t="shared" si="3"/>
        <v>1.7260416666666667</v>
      </c>
    </row>
    <row r="25" spans="1:15" x14ac:dyDescent="0.2">
      <c r="A25" s="8">
        <v>24</v>
      </c>
      <c r="B25" s="2">
        <v>236547852</v>
      </c>
      <c r="C25" s="2" t="s">
        <v>33</v>
      </c>
      <c r="D25" s="7">
        <v>45566</v>
      </c>
      <c r="E25" s="7">
        <v>45657</v>
      </c>
      <c r="F25" s="16">
        <v>397</v>
      </c>
      <c r="G25" s="16">
        <v>109</v>
      </c>
      <c r="H25" s="16">
        <v>275</v>
      </c>
      <c r="I25" s="16">
        <f t="shared" si="4"/>
        <v>231</v>
      </c>
      <c r="J25" s="17">
        <f t="shared" si="0"/>
        <v>314</v>
      </c>
      <c r="K25" s="18">
        <f t="shared" si="1"/>
        <v>0.87579617834394907</v>
      </c>
      <c r="L25" s="19">
        <f t="shared" si="2"/>
        <v>411.05454545454546</v>
      </c>
      <c r="M25" s="19">
        <v>270</v>
      </c>
      <c r="N25" s="20">
        <f t="shared" si="5"/>
        <v>0.85555555555555551</v>
      </c>
      <c r="O25" s="21">
        <f t="shared" si="3"/>
        <v>0.21388888888888888</v>
      </c>
    </row>
    <row r="26" spans="1:15" x14ac:dyDescent="0.2">
      <c r="A26" s="8">
        <v>25</v>
      </c>
      <c r="B26" s="2">
        <v>258963214</v>
      </c>
      <c r="C26" s="2" t="s">
        <v>34</v>
      </c>
      <c r="D26" s="7">
        <v>45566</v>
      </c>
      <c r="E26" s="7">
        <v>45657</v>
      </c>
      <c r="F26" s="16">
        <v>456</v>
      </c>
      <c r="G26" s="16">
        <v>450</v>
      </c>
      <c r="H26" s="16">
        <v>231</v>
      </c>
      <c r="I26" s="16">
        <f t="shared" si="4"/>
        <v>675</v>
      </c>
      <c r="J26" s="17">
        <f t="shared" si="0"/>
        <v>565.5</v>
      </c>
      <c r="K26" s="18">
        <f t="shared" si="1"/>
        <v>0.40848806366047746</v>
      </c>
      <c r="L26" s="19">
        <f t="shared" si="2"/>
        <v>881.2987012987013</v>
      </c>
      <c r="M26" s="19">
        <v>230</v>
      </c>
      <c r="N26" s="20">
        <f t="shared" si="5"/>
        <v>2.9347826086956523</v>
      </c>
      <c r="O26" s="21">
        <f t="shared" si="3"/>
        <v>0.73369565217391308</v>
      </c>
    </row>
    <row r="27" spans="1:15" x14ac:dyDescent="0.2">
      <c r="A27" s="8">
        <v>26</v>
      </c>
      <c r="B27" s="2">
        <v>578931478</v>
      </c>
      <c r="C27" s="2" t="s">
        <v>15</v>
      </c>
      <c r="D27" s="7">
        <v>45566</v>
      </c>
      <c r="E27" s="7">
        <v>45657</v>
      </c>
      <c r="F27" s="16">
        <v>528</v>
      </c>
      <c r="G27" s="16">
        <v>59</v>
      </c>
      <c r="H27" s="16">
        <v>280</v>
      </c>
      <c r="I27" s="16">
        <f t="shared" si="4"/>
        <v>307</v>
      </c>
      <c r="J27" s="17">
        <f t="shared" si="0"/>
        <v>417.5</v>
      </c>
      <c r="K27" s="18">
        <f t="shared" si="1"/>
        <v>0.6706586826347305</v>
      </c>
      <c r="L27" s="19">
        <f t="shared" si="2"/>
        <v>536.78571428571433</v>
      </c>
      <c r="M27" s="19">
        <v>250</v>
      </c>
      <c r="N27" s="20">
        <f t="shared" si="5"/>
        <v>1.228</v>
      </c>
      <c r="O27" s="21">
        <f t="shared" si="3"/>
        <v>0.307</v>
      </c>
    </row>
    <row r="28" spans="1:15" x14ac:dyDescent="0.2">
      <c r="A28" s="8">
        <v>27</v>
      </c>
      <c r="B28" s="2">
        <v>217856258</v>
      </c>
      <c r="C28" s="2" t="s">
        <v>26</v>
      </c>
      <c r="D28" s="7">
        <v>45566</v>
      </c>
      <c r="E28" s="7">
        <v>45657</v>
      </c>
      <c r="F28" s="16">
        <v>909</v>
      </c>
      <c r="G28" s="16">
        <v>207</v>
      </c>
      <c r="H28" s="16">
        <v>907</v>
      </c>
      <c r="I28" s="16">
        <f t="shared" si="4"/>
        <v>209</v>
      </c>
      <c r="J28" s="17">
        <f t="shared" si="0"/>
        <v>559</v>
      </c>
      <c r="K28" s="18">
        <f t="shared" si="1"/>
        <v>1.6225402504472273</v>
      </c>
      <c r="L28" s="19">
        <f t="shared" si="2"/>
        <v>221.87431091510473</v>
      </c>
      <c r="M28" s="19">
        <v>800</v>
      </c>
      <c r="N28" s="20">
        <f t="shared" si="5"/>
        <v>0.26124999999999998</v>
      </c>
      <c r="O28" s="21">
        <f t="shared" si="3"/>
        <v>6.5312499999999996E-2</v>
      </c>
    </row>
    <row r="29" spans="1:15" x14ac:dyDescent="0.2">
      <c r="A29" s="8">
        <v>28</v>
      </c>
      <c r="B29" s="2">
        <v>369874522</v>
      </c>
      <c r="C29" s="2" t="s">
        <v>35</v>
      </c>
      <c r="D29" s="7">
        <v>45566</v>
      </c>
      <c r="E29" s="7">
        <v>45657</v>
      </c>
      <c r="F29" s="16">
        <v>407</v>
      </c>
      <c r="G29" s="16">
        <v>520</v>
      </c>
      <c r="H29" s="16">
        <v>158</v>
      </c>
      <c r="I29" s="16">
        <f t="shared" si="4"/>
        <v>769</v>
      </c>
      <c r="J29" s="17">
        <f t="shared" si="0"/>
        <v>588</v>
      </c>
      <c r="K29" s="18">
        <f t="shared" si="1"/>
        <v>0.2687074829931973</v>
      </c>
      <c r="L29" s="19">
        <f t="shared" si="2"/>
        <v>1339.746835443038</v>
      </c>
      <c r="M29" s="19">
        <v>160</v>
      </c>
      <c r="N29" s="20">
        <f t="shared" si="5"/>
        <v>4.8062500000000004</v>
      </c>
      <c r="O29" s="21">
        <f t="shared" si="3"/>
        <v>1.2015625000000001</v>
      </c>
    </row>
    <row r="30" spans="1:15" x14ac:dyDescent="0.2">
      <c r="A30" s="8">
        <v>29</v>
      </c>
      <c r="B30" s="2">
        <v>329865147</v>
      </c>
      <c r="C30" s="2" t="s">
        <v>36</v>
      </c>
      <c r="D30" s="7">
        <v>45566</v>
      </c>
      <c r="E30" s="7">
        <v>45657</v>
      </c>
      <c r="F30" s="16">
        <v>413</v>
      </c>
      <c r="G30" s="16">
        <v>350</v>
      </c>
      <c r="H30" s="16">
        <v>604</v>
      </c>
      <c r="I30" s="16">
        <f t="shared" si="4"/>
        <v>159</v>
      </c>
      <c r="J30" s="17">
        <f t="shared" si="0"/>
        <v>286</v>
      </c>
      <c r="K30" s="18">
        <f t="shared" si="1"/>
        <v>2.1118881118881121</v>
      </c>
      <c r="L30" s="19">
        <f t="shared" si="2"/>
        <v>170.46357615894038</v>
      </c>
      <c r="M30" s="19">
        <v>740</v>
      </c>
      <c r="N30" s="20">
        <f t="shared" si="5"/>
        <v>0.21486486486486486</v>
      </c>
      <c r="O30" s="21">
        <f t="shared" si="3"/>
        <v>5.3716216216216216E-2</v>
      </c>
    </row>
    <row r="31" spans="1:15" x14ac:dyDescent="0.2">
      <c r="A31" s="8">
        <v>30</v>
      </c>
      <c r="B31" s="2">
        <v>659832741</v>
      </c>
      <c r="C31" s="2" t="s">
        <v>37</v>
      </c>
      <c r="D31" s="7">
        <v>45566</v>
      </c>
      <c r="E31" s="7">
        <v>45657</v>
      </c>
      <c r="F31" s="16">
        <v>1087</v>
      </c>
      <c r="G31" s="16">
        <v>10</v>
      </c>
      <c r="H31" s="16">
        <v>312</v>
      </c>
      <c r="I31" s="16">
        <f t="shared" si="4"/>
        <v>785</v>
      </c>
      <c r="J31" s="17">
        <f t="shared" si="0"/>
        <v>936</v>
      </c>
      <c r="K31" s="18">
        <f t="shared" si="1"/>
        <v>0.33333333333333331</v>
      </c>
      <c r="L31" s="19">
        <f t="shared" si="2"/>
        <v>1080</v>
      </c>
      <c r="M31" s="19">
        <v>560</v>
      </c>
      <c r="N31" s="20">
        <f t="shared" si="5"/>
        <v>1.4017857142857142</v>
      </c>
      <c r="O31" s="21">
        <f t="shared" si="3"/>
        <v>0.35044642857142855</v>
      </c>
    </row>
    <row r="32" spans="1:15" x14ac:dyDescent="0.2">
      <c r="A32" s="8">
        <v>31</v>
      </c>
      <c r="B32" s="2">
        <v>201478963</v>
      </c>
      <c r="C32" s="2" t="s">
        <v>38</v>
      </c>
      <c r="D32" s="7">
        <v>45566</v>
      </c>
      <c r="E32" s="7">
        <v>45657</v>
      </c>
      <c r="F32" s="16">
        <v>987</v>
      </c>
      <c r="G32" s="16">
        <v>579</v>
      </c>
      <c r="H32" s="16">
        <v>456</v>
      </c>
      <c r="I32" s="16">
        <f t="shared" si="4"/>
        <v>1110</v>
      </c>
      <c r="J32" s="17">
        <f t="shared" si="0"/>
        <v>1048.5</v>
      </c>
      <c r="K32" s="18">
        <f t="shared" si="1"/>
        <v>0.43490701001430615</v>
      </c>
      <c r="L32" s="19">
        <f t="shared" si="2"/>
        <v>827.76315789473688</v>
      </c>
      <c r="M32" s="19">
        <v>430</v>
      </c>
      <c r="N32" s="20">
        <f t="shared" si="5"/>
        <v>2.5813953488372094</v>
      </c>
      <c r="O32" s="21">
        <f t="shared" si="3"/>
        <v>0.64534883720930236</v>
      </c>
    </row>
    <row r="33" spans="1:15" x14ac:dyDescent="0.2">
      <c r="A33" s="8">
        <v>32</v>
      </c>
      <c r="B33" s="2">
        <v>369874125</v>
      </c>
      <c r="C33" s="2" t="s">
        <v>39</v>
      </c>
      <c r="D33" s="7">
        <v>45566</v>
      </c>
      <c r="E33" s="7">
        <v>45657</v>
      </c>
      <c r="F33" s="16">
        <v>631</v>
      </c>
      <c r="G33" s="16">
        <v>600</v>
      </c>
      <c r="H33" s="16">
        <v>335</v>
      </c>
      <c r="I33" s="16">
        <f t="shared" si="4"/>
        <v>896</v>
      </c>
      <c r="J33" s="17">
        <f t="shared" si="0"/>
        <v>763.5</v>
      </c>
      <c r="K33" s="18">
        <f t="shared" si="1"/>
        <v>0.43876882776686316</v>
      </c>
      <c r="L33" s="19">
        <f t="shared" si="2"/>
        <v>820.4776119402984</v>
      </c>
      <c r="M33" s="19">
        <v>330</v>
      </c>
      <c r="N33" s="20">
        <f t="shared" si="5"/>
        <v>2.7151515151515153</v>
      </c>
      <c r="O33" s="21">
        <f t="shared" si="3"/>
        <v>0.67878787878787883</v>
      </c>
    </row>
    <row r="34" spans="1:15" x14ac:dyDescent="0.2">
      <c r="A34" s="8">
        <v>33</v>
      </c>
      <c r="B34" s="2">
        <v>698753010</v>
      </c>
      <c r="C34" s="2" t="s">
        <v>21</v>
      </c>
      <c r="D34" s="7">
        <v>45566</v>
      </c>
      <c r="E34" s="7">
        <v>45657</v>
      </c>
      <c r="F34" s="16">
        <v>1029</v>
      </c>
      <c r="G34" s="16">
        <v>490</v>
      </c>
      <c r="H34" s="16">
        <v>403</v>
      </c>
      <c r="I34" s="16">
        <f t="shared" si="4"/>
        <v>1116</v>
      </c>
      <c r="J34" s="17">
        <f t="shared" si="0"/>
        <v>1072.5</v>
      </c>
      <c r="K34" s="18">
        <f t="shared" si="1"/>
        <v>0.37575757575757573</v>
      </c>
      <c r="L34" s="19">
        <f t="shared" si="2"/>
        <v>958.06451612903231</v>
      </c>
      <c r="M34" s="19">
        <v>425</v>
      </c>
      <c r="N34" s="20">
        <f t="shared" si="5"/>
        <v>2.6258823529411766</v>
      </c>
      <c r="O34" s="21">
        <f t="shared" si="3"/>
        <v>0.65647058823529414</v>
      </c>
    </row>
    <row r="35" spans="1:15" x14ac:dyDescent="0.2">
      <c r="A35" s="8">
        <v>34</v>
      </c>
      <c r="B35" s="2">
        <v>794613528</v>
      </c>
      <c r="C35" s="2" t="s">
        <v>40</v>
      </c>
      <c r="D35" s="7">
        <v>45566</v>
      </c>
      <c r="E35" s="7">
        <v>45657</v>
      </c>
      <c r="F35" s="16">
        <v>397</v>
      </c>
      <c r="G35" s="16">
        <v>73</v>
      </c>
      <c r="H35" s="16">
        <v>109</v>
      </c>
      <c r="I35" s="16">
        <f t="shared" si="4"/>
        <v>361</v>
      </c>
      <c r="J35" s="17">
        <f t="shared" si="0"/>
        <v>379</v>
      </c>
      <c r="K35" s="18">
        <f t="shared" si="1"/>
        <v>0.28759894459102903</v>
      </c>
      <c r="L35" s="19">
        <f t="shared" si="2"/>
        <v>1251.7431192660551</v>
      </c>
      <c r="M35" s="19">
        <v>120</v>
      </c>
      <c r="N35" s="20">
        <f t="shared" si="5"/>
        <v>3.0083333333333333</v>
      </c>
      <c r="O35" s="21">
        <f t="shared" si="3"/>
        <v>0.75208333333333333</v>
      </c>
    </row>
    <row r="36" spans="1:15" x14ac:dyDescent="0.2">
      <c r="A36" s="8">
        <v>35</v>
      </c>
      <c r="B36" s="2">
        <v>286314820</v>
      </c>
      <c r="C36" s="2" t="s">
        <v>41</v>
      </c>
      <c r="D36" s="7">
        <v>45566</v>
      </c>
      <c r="E36" s="7">
        <v>45657</v>
      </c>
      <c r="F36" s="16">
        <v>307</v>
      </c>
      <c r="G36" s="16">
        <v>65</v>
      </c>
      <c r="H36" s="16">
        <v>79</v>
      </c>
      <c r="I36" s="16">
        <f t="shared" si="4"/>
        <v>293</v>
      </c>
      <c r="J36" s="17">
        <f t="shared" si="0"/>
        <v>300</v>
      </c>
      <c r="K36" s="18">
        <f t="shared" si="1"/>
        <v>0.26333333333333331</v>
      </c>
      <c r="L36" s="19">
        <f t="shared" si="2"/>
        <v>1367.0886075949368</v>
      </c>
      <c r="M36" s="19">
        <v>100</v>
      </c>
      <c r="N36" s="20">
        <f t="shared" si="5"/>
        <v>2.93</v>
      </c>
      <c r="O36" s="21">
        <f t="shared" si="3"/>
        <v>0.73250000000000004</v>
      </c>
    </row>
    <row r="37" spans="1:15" x14ac:dyDescent="0.2">
      <c r="A37" s="8">
        <v>36</v>
      </c>
      <c r="B37" s="2">
        <v>333665478</v>
      </c>
      <c r="C37" s="2" t="s">
        <v>42</v>
      </c>
      <c r="D37" s="7">
        <v>45566</v>
      </c>
      <c r="E37" s="7">
        <v>45657</v>
      </c>
      <c r="F37" s="16">
        <v>1340</v>
      </c>
      <c r="G37" s="16">
        <v>97</v>
      </c>
      <c r="H37" s="16">
        <v>95</v>
      </c>
      <c r="I37" s="16">
        <f t="shared" si="4"/>
        <v>1342</v>
      </c>
      <c r="J37" s="17">
        <f t="shared" si="0"/>
        <v>1341</v>
      </c>
      <c r="K37" s="18">
        <f t="shared" si="1"/>
        <v>7.0842654735272181E-2</v>
      </c>
      <c r="L37" s="19">
        <f t="shared" si="2"/>
        <v>5081.6842105263158</v>
      </c>
      <c r="M37" s="19">
        <v>100</v>
      </c>
      <c r="N37" s="20">
        <f t="shared" si="5"/>
        <v>13.42</v>
      </c>
      <c r="O37" s="21">
        <f t="shared" si="3"/>
        <v>3.355</v>
      </c>
    </row>
    <row r="38" spans="1:15" x14ac:dyDescent="0.2">
      <c r="A38" s="8">
        <v>37</v>
      </c>
      <c r="B38" s="2">
        <v>995432017</v>
      </c>
      <c r="C38" s="2" t="s">
        <v>43</v>
      </c>
      <c r="D38" s="7">
        <v>45566</v>
      </c>
      <c r="E38" s="7">
        <v>45657</v>
      </c>
      <c r="F38" s="16">
        <v>700</v>
      </c>
      <c r="G38" s="16">
        <v>85</v>
      </c>
      <c r="H38" s="16">
        <v>397</v>
      </c>
      <c r="I38" s="16">
        <f t="shared" si="4"/>
        <v>388</v>
      </c>
      <c r="J38" s="17">
        <f t="shared" si="0"/>
        <v>544</v>
      </c>
      <c r="K38" s="18">
        <f t="shared" si="1"/>
        <v>0.72977941176470584</v>
      </c>
      <c r="L38" s="19">
        <f t="shared" si="2"/>
        <v>493.29974811083127</v>
      </c>
      <c r="M38" s="19">
        <v>800</v>
      </c>
      <c r="N38" s="20">
        <f t="shared" si="5"/>
        <v>0.48499999999999999</v>
      </c>
      <c r="O38" s="21">
        <f t="shared" si="3"/>
        <v>0.12125</v>
      </c>
    </row>
    <row r="39" spans="1:15" x14ac:dyDescent="0.2">
      <c r="A39" s="8">
        <v>38</v>
      </c>
      <c r="B39" s="2">
        <v>783695210</v>
      </c>
      <c r="C39" s="2" t="s">
        <v>44</v>
      </c>
      <c r="D39" s="7">
        <v>45566</v>
      </c>
      <c r="E39" s="7">
        <v>45657</v>
      </c>
      <c r="F39" s="16">
        <v>504</v>
      </c>
      <c r="G39" s="16">
        <v>70</v>
      </c>
      <c r="H39" s="16">
        <v>147</v>
      </c>
      <c r="I39" s="16">
        <f t="shared" si="4"/>
        <v>427</v>
      </c>
      <c r="J39" s="17">
        <f t="shared" si="0"/>
        <v>465.5</v>
      </c>
      <c r="K39" s="18">
        <f t="shared" si="1"/>
        <v>0.31578947368421051</v>
      </c>
      <c r="L39" s="19">
        <f t="shared" si="2"/>
        <v>1140</v>
      </c>
      <c r="M39" s="19">
        <v>460</v>
      </c>
      <c r="N39" s="20">
        <f t="shared" si="5"/>
        <v>0.92826086956521736</v>
      </c>
      <c r="O39" s="21">
        <f t="shared" si="3"/>
        <v>0.23206521739130434</v>
      </c>
    </row>
    <row r="40" spans="1:15" x14ac:dyDescent="0.2">
      <c r="A40" s="8">
        <v>39</v>
      </c>
      <c r="B40" s="2">
        <v>127869354</v>
      </c>
      <c r="C40" s="2" t="s">
        <v>45</v>
      </c>
      <c r="D40" s="7">
        <v>45566</v>
      </c>
      <c r="E40" s="7">
        <v>45657</v>
      </c>
      <c r="F40" s="16">
        <v>687</v>
      </c>
      <c r="G40" s="16">
        <v>140</v>
      </c>
      <c r="H40" s="16">
        <v>84</v>
      </c>
      <c r="I40" s="16">
        <f t="shared" si="4"/>
        <v>743</v>
      </c>
      <c r="J40" s="17">
        <f t="shared" si="0"/>
        <v>715</v>
      </c>
      <c r="K40" s="18">
        <f t="shared" si="1"/>
        <v>0.11748251748251748</v>
      </c>
      <c r="L40" s="19">
        <f t="shared" si="2"/>
        <v>3064.2857142857142</v>
      </c>
      <c r="M40" s="19">
        <v>90</v>
      </c>
      <c r="N40" s="20">
        <f t="shared" si="5"/>
        <v>8.2555555555555564</v>
      </c>
      <c r="O40" s="21">
        <f t="shared" si="3"/>
        <v>2.0638888888888891</v>
      </c>
    </row>
    <row r="41" spans="1:15" x14ac:dyDescent="0.2">
      <c r="A41" s="8">
        <v>40</v>
      </c>
      <c r="B41" s="2">
        <v>410236987</v>
      </c>
      <c r="C41" s="2" t="s">
        <v>46</v>
      </c>
      <c r="D41" s="7">
        <v>45566</v>
      </c>
      <c r="E41" s="7">
        <v>45657</v>
      </c>
      <c r="F41" s="16">
        <v>780</v>
      </c>
      <c r="G41" s="16">
        <v>490</v>
      </c>
      <c r="H41" s="16">
        <v>345</v>
      </c>
      <c r="I41" s="16">
        <f t="shared" si="4"/>
        <v>925</v>
      </c>
      <c r="J41" s="17">
        <f t="shared" si="0"/>
        <v>852.5</v>
      </c>
      <c r="K41" s="18">
        <f t="shared" si="1"/>
        <v>0.40469208211143692</v>
      </c>
      <c r="L41" s="19">
        <f t="shared" si="2"/>
        <v>889.56521739130437</v>
      </c>
      <c r="M41" s="19">
        <v>610</v>
      </c>
      <c r="N41" s="20">
        <f t="shared" si="5"/>
        <v>1.5163934426229508</v>
      </c>
      <c r="O41" s="21">
        <f t="shared" si="3"/>
        <v>0.37909836065573771</v>
      </c>
    </row>
    <row r="42" spans="1:15" x14ac:dyDescent="0.2">
      <c r="A42" s="8">
        <v>41</v>
      </c>
      <c r="B42" s="2">
        <v>753159847</v>
      </c>
      <c r="C42" s="2" t="s">
        <v>47</v>
      </c>
      <c r="D42" s="7">
        <v>45566</v>
      </c>
      <c r="E42" s="7">
        <v>45657</v>
      </c>
      <c r="F42" s="16">
        <v>985</v>
      </c>
      <c r="G42" s="16">
        <v>12</v>
      </c>
      <c r="H42" s="16">
        <v>113</v>
      </c>
      <c r="I42" s="16">
        <f t="shared" si="4"/>
        <v>884</v>
      </c>
      <c r="J42" s="17">
        <f t="shared" si="0"/>
        <v>934.5</v>
      </c>
      <c r="K42" s="18">
        <f t="shared" si="1"/>
        <v>0.12092027822364901</v>
      </c>
      <c r="L42" s="19">
        <f t="shared" si="2"/>
        <v>2977.1681415929206</v>
      </c>
      <c r="M42" s="19">
        <v>230</v>
      </c>
      <c r="N42" s="20">
        <f t="shared" si="5"/>
        <v>3.8434782608695652</v>
      </c>
      <c r="O42" s="21">
        <f t="shared" si="3"/>
        <v>0.96086956521739131</v>
      </c>
    </row>
    <row r="43" spans="1:15" x14ac:dyDescent="0.2">
      <c r="A43" s="8">
        <v>42</v>
      </c>
      <c r="B43" s="2">
        <v>789321456</v>
      </c>
      <c r="C43" s="2" t="s">
        <v>48</v>
      </c>
      <c r="D43" s="7">
        <v>45566</v>
      </c>
      <c r="E43" s="7">
        <v>45657</v>
      </c>
      <c r="F43" s="16">
        <v>1004</v>
      </c>
      <c r="G43" s="16">
        <v>251</v>
      </c>
      <c r="H43" s="16">
        <v>709</v>
      </c>
      <c r="I43" s="16">
        <f t="shared" si="4"/>
        <v>546</v>
      </c>
      <c r="J43" s="17">
        <f t="shared" si="0"/>
        <v>775</v>
      </c>
      <c r="K43" s="18">
        <f t="shared" si="1"/>
        <v>0.91483870967741932</v>
      </c>
      <c r="L43" s="19">
        <f t="shared" si="2"/>
        <v>393.51198871650212</v>
      </c>
      <c r="M43" s="19">
        <v>1520</v>
      </c>
      <c r="N43" s="20">
        <f t="shared" si="5"/>
        <v>0.35921052631578948</v>
      </c>
      <c r="O43" s="21">
        <f t="shared" si="3"/>
        <v>8.980263157894737E-2</v>
      </c>
    </row>
    <row r="44" spans="1:15" x14ac:dyDescent="0.2">
      <c r="A44" s="8">
        <v>43</v>
      </c>
      <c r="B44" s="2">
        <v>204587456</v>
      </c>
      <c r="C44" s="2" t="s">
        <v>49</v>
      </c>
      <c r="D44" s="7">
        <v>45566</v>
      </c>
      <c r="E44" s="7">
        <v>45657</v>
      </c>
      <c r="F44" s="16">
        <v>96</v>
      </c>
      <c r="G44" s="16">
        <v>24</v>
      </c>
      <c r="H44" s="16">
        <v>15</v>
      </c>
      <c r="I44" s="16">
        <f t="shared" si="4"/>
        <v>105</v>
      </c>
      <c r="J44" s="17">
        <f t="shared" si="0"/>
        <v>100.5</v>
      </c>
      <c r="K44" s="18">
        <f t="shared" si="1"/>
        <v>0.14925373134328357</v>
      </c>
      <c r="L44" s="19">
        <f t="shared" si="2"/>
        <v>2412</v>
      </c>
      <c r="M44" s="19">
        <v>40</v>
      </c>
      <c r="N44" s="20">
        <f t="shared" si="5"/>
        <v>2.625</v>
      </c>
      <c r="O44" s="21">
        <f t="shared" si="3"/>
        <v>0.65625</v>
      </c>
    </row>
    <row r="45" spans="1:15" x14ac:dyDescent="0.2">
      <c r="A45" s="8">
        <v>44</v>
      </c>
      <c r="B45" s="2">
        <v>857674020</v>
      </c>
      <c r="C45" s="2" t="s">
        <v>50</v>
      </c>
      <c r="D45" s="7">
        <v>45566</v>
      </c>
      <c r="E45" s="7">
        <v>45657</v>
      </c>
      <c r="F45" s="16">
        <v>500</v>
      </c>
      <c r="G45" s="16">
        <v>0</v>
      </c>
      <c r="H45" s="16">
        <v>125</v>
      </c>
      <c r="I45" s="16">
        <f t="shared" si="4"/>
        <v>375</v>
      </c>
      <c r="J45" s="17">
        <f t="shared" si="0"/>
        <v>437.5</v>
      </c>
      <c r="K45" s="18">
        <f t="shared" si="1"/>
        <v>0.2857142857142857</v>
      </c>
      <c r="L45" s="19">
        <f t="shared" si="2"/>
        <v>1260</v>
      </c>
      <c r="M45" s="19">
        <v>502</v>
      </c>
      <c r="N45" s="20">
        <f t="shared" si="5"/>
        <v>0.74701195219123506</v>
      </c>
      <c r="O45" s="21">
        <f t="shared" si="3"/>
        <v>0.18675298804780877</v>
      </c>
    </row>
    <row r="46" spans="1:15" x14ac:dyDescent="0.2">
      <c r="A46" s="8">
        <v>45</v>
      </c>
      <c r="B46" s="2">
        <v>857674721</v>
      </c>
      <c r="C46" s="2" t="s">
        <v>51</v>
      </c>
      <c r="D46" s="7">
        <v>45566</v>
      </c>
      <c r="E46" s="7">
        <v>45657</v>
      </c>
      <c r="F46" s="16">
        <v>0</v>
      </c>
      <c r="G46" s="16">
        <v>480</v>
      </c>
      <c r="H46" s="16">
        <v>156</v>
      </c>
      <c r="I46" s="16">
        <f t="shared" si="4"/>
        <v>324</v>
      </c>
      <c r="J46" s="17">
        <f t="shared" si="0"/>
        <v>162</v>
      </c>
      <c r="K46" s="18">
        <f t="shared" si="1"/>
        <v>0.96296296296296291</v>
      </c>
      <c r="L46" s="19">
        <f t="shared" si="2"/>
        <v>373.84615384615387</v>
      </c>
      <c r="M46" s="19">
        <v>410</v>
      </c>
      <c r="N46" s="20">
        <f t="shared" si="5"/>
        <v>0.79024390243902443</v>
      </c>
      <c r="O46" s="21">
        <f t="shared" si="3"/>
        <v>0.19756097560975611</v>
      </c>
    </row>
    <row r="47" spans="1:15" x14ac:dyDescent="0.2">
      <c r="A47" s="8">
        <v>46</v>
      </c>
      <c r="B47" s="2">
        <v>986325784</v>
      </c>
      <c r="C47" s="2" t="s">
        <v>52</v>
      </c>
      <c r="D47" s="7">
        <v>45566</v>
      </c>
      <c r="E47" s="7">
        <v>45657</v>
      </c>
      <c r="F47" s="16">
        <v>600</v>
      </c>
      <c r="G47" s="16">
        <v>475</v>
      </c>
      <c r="H47" s="16">
        <v>90</v>
      </c>
      <c r="I47" s="16">
        <f t="shared" si="4"/>
        <v>985</v>
      </c>
      <c r="J47" s="17">
        <f t="shared" si="0"/>
        <v>792.5</v>
      </c>
      <c r="K47" s="18">
        <f t="shared" si="1"/>
        <v>0.11356466876971609</v>
      </c>
      <c r="L47" s="19">
        <f t="shared" si="2"/>
        <v>3170</v>
      </c>
      <c r="M47" s="19">
        <v>120</v>
      </c>
      <c r="N47" s="20">
        <f t="shared" si="5"/>
        <v>8.2083333333333339</v>
      </c>
      <c r="O47" s="21">
        <f t="shared" si="3"/>
        <v>2.0520833333333335</v>
      </c>
    </row>
  </sheetData>
  <autoFilter ref="A1:O47" xr:uid="{ED3DB326-8E2F-4396-BE1E-9C68D4577D75}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0D5A-B232-4126-868A-22451EB56841}">
  <dimension ref="A1:O52"/>
  <sheetViews>
    <sheetView workbookViewId="0">
      <selection activeCell="R7" sqref="R7"/>
    </sheetView>
  </sheetViews>
  <sheetFormatPr baseColWidth="10" defaultColWidth="8.7109375" defaultRowHeight="12.75" x14ac:dyDescent="0.2"/>
  <cols>
    <col min="1" max="1" width="5.5703125" style="1" bestFit="1" customWidth="1"/>
    <col min="2" max="2" width="25.140625" bestFit="1" customWidth="1"/>
    <col min="3" max="3" width="42" bestFit="1" customWidth="1"/>
    <col min="4" max="5" width="9.5703125" bestFit="1" customWidth="1"/>
    <col min="6" max="6" width="13.42578125" style="15" bestFit="1" customWidth="1"/>
    <col min="7" max="7" width="7.28515625" style="15" bestFit="1" customWidth="1"/>
    <col min="8" max="8" width="6.85546875" style="15" bestFit="1" customWidth="1"/>
    <col min="9" max="9" width="10.28515625" style="15" bestFit="1" customWidth="1"/>
    <col min="10" max="10" width="17.42578125" style="15" bestFit="1" customWidth="1"/>
    <col min="11" max="11" width="4.85546875" style="15" bestFit="1" customWidth="1"/>
    <col min="12" max="12" width="18.7109375" style="15" bestFit="1" customWidth="1"/>
    <col min="13" max="13" width="22.28515625" style="15" bestFit="1" customWidth="1"/>
    <col min="14" max="14" width="14.42578125" style="15" bestFit="1" customWidth="1"/>
    <col min="15" max="15" width="15" style="15" bestFit="1" customWidth="1"/>
  </cols>
  <sheetData>
    <row r="1" spans="1:15" ht="38.25" x14ac:dyDescent="0.2">
      <c r="A1" s="4" t="s">
        <v>11</v>
      </c>
      <c r="B1" s="4" t="s">
        <v>0</v>
      </c>
      <c r="C1" s="4" t="s">
        <v>9</v>
      </c>
      <c r="D1" s="4" t="s">
        <v>1</v>
      </c>
      <c r="E1" s="4" t="s">
        <v>2</v>
      </c>
      <c r="F1" s="5" t="s">
        <v>55</v>
      </c>
      <c r="G1" s="5" t="s">
        <v>56</v>
      </c>
      <c r="H1" s="5" t="s">
        <v>57</v>
      </c>
      <c r="I1" s="5" t="s">
        <v>58</v>
      </c>
      <c r="J1" s="6" t="s">
        <v>59</v>
      </c>
      <c r="K1" s="6" t="s">
        <v>10</v>
      </c>
      <c r="L1" s="6" t="s">
        <v>60</v>
      </c>
      <c r="M1" s="6" t="s">
        <v>61</v>
      </c>
      <c r="N1" s="6" t="s">
        <v>62</v>
      </c>
      <c r="O1" s="6" t="s">
        <v>63</v>
      </c>
    </row>
    <row r="2" spans="1:15" x14ac:dyDescent="0.2">
      <c r="A2" s="8">
        <v>1</v>
      </c>
      <c r="B2" s="2">
        <v>356987401</v>
      </c>
      <c r="C2" s="2" t="s">
        <v>13</v>
      </c>
      <c r="D2" s="7">
        <v>45658</v>
      </c>
      <c r="E2" s="7">
        <v>45747</v>
      </c>
      <c r="F2" s="16">
        <f>'Q4-24'!I2</f>
        <v>21959</v>
      </c>
      <c r="G2" s="16">
        <v>30000</v>
      </c>
      <c r="H2" s="16">
        <v>26004</v>
      </c>
      <c r="I2" s="16">
        <f>F2+G2-H2</f>
        <v>25955</v>
      </c>
      <c r="J2" s="17">
        <f t="shared" ref="J2:J47" si="0">(F2+I2)/2</f>
        <v>23957</v>
      </c>
      <c r="K2" s="18">
        <f t="shared" ref="K2:K47" si="1">IFERROR((H2/J2),0)</f>
        <v>1.0854447551863755</v>
      </c>
      <c r="L2" s="19">
        <f t="shared" ref="L2:L47" si="2">IFERROR(360/K2,0)</f>
        <v>331.66128287955701</v>
      </c>
      <c r="M2" s="19">
        <v>25000</v>
      </c>
      <c r="N2" s="23">
        <f t="shared" ref="N2:N47" si="3">I2/M2</f>
        <v>1.0382</v>
      </c>
      <c r="O2" s="23">
        <f t="shared" ref="O2:O47" si="4">N2/4</f>
        <v>0.25955</v>
      </c>
    </row>
    <row r="3" spans="1:15" x14ac:dyDescent="0.2">
      <c r="A3" s="8">
        <v>2</v>
      </c>
      <c r="B3" s="2">
        <v>973156840</v>
      </c>
      <c r="C3" s="2" t="s">
        <v>14</v>
      </c>
      <c r="D3" s="7">
        <v>45658</v>
      </c>
      <c r="E3" s="7">
        <v>45747</v>
      </c>
      <c r="F3" s="16">
        <f>'Q4-24'!I3</f>
        <v>14303</v>
      </c>
      <c r="G3" s="16">
        <v>1500</v>
      </c>
      <c r="H3" s="16">
        <v>1990</v>
      </c>
      <c r="I3" s="16">
        <f t="shared" ref="I3:I47" si="5">F3+G3-H3</f>
        <v>13813</v>
      </c>
      <c r="J3" s="17">
        <f t="shared" si="0"/>
        <v>14058</v>
      </c>
      <c r="K3" s="18">
        <f t="shared" si="1"/>
        <v>0.14155640916204296</v>
      </c>
      <c r="L3" s="19">
        <f t="shared" si="2"/>
        <v>2543.1557788944724</v>
      </c>
      <c r="M3" s="19">
        <v>2000</v>
      </c>
      <c r="N3" s="23">
        <f t="shared" si="3"/>
        <v>6.9065000000000003</v>
      </c>
      <c r="O3" s="23">
        <f t="shared" si="4"/>
        <v>1.7266250000000001</v>
      </c>
    </row>
    <row r="4" spans="1:15" x14ac:dyDescent="0.2">
      <c r="A4" s="8">
        <v>3</v>
      </c>
      <c r="B4" s="2">
        <v>578931478</v>
      </c>
      <c r="C4" s="2" t="s">
        <v>15</v>
      </c>
      <c r="D4" s="7">
        <v>45658</v>
      </c>
      <c r="E4" s="7">
        <v>45747</v>
      </c>
      <c r="F4" s="16">
        <f>'Q4-24'!I4</f>
        <v>72180</v>
      </c>
      <c r="G4" s="16">
        <v>0</v>
      </c>
      <c r="H4" s="16">
        <v>700</v>
      </c>
      <c r="I4" s="16">
        <f t="shared" si="5"/>
        <v>71480</v>
      </c>
      <c r="J4" s="17">
        <f t="shared" si="0"/>
        <v>71830</v>
      </c>
      <c r="K4" s="18">
        <f t="shared" si="1"/>
        <v>9.7452317972991781E-3</v>
      </c>
      <c r="L4" s="19">
        <f t="shared" si="2"/>
        <v>36941.142857142862</v>
      </c>
      <c r="M4" s="19">
        <v>500</v>
      </c>
      <c r="N4" s="23">
        <f t="shared" si="3"/>
        <v>142.96</v>
      </c>
      <c r="O4" s="23">
        <f t="shared" si="4"/>
        <v>35.74</v>
      </c>
    </row>
    <row r="5" spans="1:15" x14ac:dyDescent="0.2">
      <c r="A5" s="8">
        <v>4</v>
      </c>
      <c r="B5" s="2">
        <v>976258743</v>
      </c>
      <c r="C5" s="2" t="s">
        <v>16</v>
      </c>
      <c r="D5" s="7">
        <v>45658</v>
      </c>
      <c r="E5" s="7">
        <v>45747</v>
      </c>
      <c r="F5" s="16">
        <f>'Q4-24'!I5</f>
        <v>4678</v>
      </c>
      <c r="G5" s="16">
        <v>0</v>
      </c>
      <c r="H5" s="16">
        <v>98</v>
      </c>
      <c r="I5" s="16">
        <f t="shared" si="5"/>
        <v>4580</v>
      </c>
      <c r="J5" s="17">
        <f t="shared" si="0"/>
        <v>4629</v>
      </c>
      <c r="K5" s="18">
        <f t="shared" si="1"/>
        <v>2.1170879239576581E-2</v>
      </c>
      <c r="L5" s="19">
        <f t="shared" si="2"/>
        <v>17004.489795918369</v>
      </c>
      <c r="M5" s="19">
        <v>100</v>
      </c>
      <c r="N5" s="23">
        <f t="shared" si="3"/>
        <v>45.8</v>
      </c>
      <c r="O5" s="23">
        <f t="shared" si="4"/>
        <v>11.45</v>
      </c>
    </row>
    <row r="6" spans="1:15" x14ac:dyDescent="0.2">
      <c r="A6" s="8">
        <v>5</v>
      </c>
      <c r="B6" s="2">
        <v>488369720</v>
      </c>
      <c r="C6" s="2" t="s">
        <v>17</v>
      </c>
      <c r="D6" s="7">
        <v>45658</v>
      </c>
      <c r="E6" s="7">
        <v>45747</v>
      </c>
      <c r="F6" s="16">
        <f>'Q4-24'!I6</f>
        <v>8267</v>
      </c>
      <c r="G6" s="16">
        <v>124</v>
      </c>
      <c r="H6" s="16">
        <v>554</v>
      </c>
      <c r="I6" s="16">
        <f t="shared" si="5"/>
        <v>7837</v>
      </c>
      <c r="J6" s="17">
        <f t="shared" si="0"/>
        <v>8052</v>
      </c>
      <c r="K6" s="18">
        <f t="shared" si="1"/>
        <v>6.8802781917536013E-2</v>
      </c>
      <c r="L6" s="19">
        <f t="shared" si="2"/>
        <v>5232.3465703971124</v>
      </c>
      <c r="M6" s="19">
        <v>500</v>
      </c>
      <c r="N6" s="23">
        <f t="shared" si="3"/>
        <v>15.673999999999999</v>
      </c>
      <c r="O6" s="23">
        <f t="shared" si="4"/>
        <v>3.9184999999999999</v>
      </c>
    </row>
    <row r="7" spans="1:15" x14ac:dyDescent="0.2">
      <c r="A7" s="8">
        <v>6</v>
      </c>
      <c r="B7" s="2">
        <v>658742031</v>
      </c>
      <c r="C7" s="2" t="s">
        <v>18</v>
      </c>
      <c r="D7" s="7">
        <v>45658</v>
      </c>
      <c r="E7" s="7">
        <v>45747</v>
      </c>
      <c r="F7" s="16">
        <f>'Q4-24'!I7</f>
        <v>896</v>
      </c>
      <c r="G7" s="16">
        <v>1031</v>
      </c>
      <c r="H7" s="16">
        <v>724</v>
      </c>
      <c r="I7" s="16">
        <f t="shared" si="5"/>
        <v>1203</v>
      </c>
      <c r="J7" s="17">
        <f t="shared" si="0"/>
        <v>1049.5</v>
      </c>
      <c r="K7" s="18">
        <f t="shared" si="1"/>
        <v>0.68985231062410668</v>
      </c>
      <c r="L7" s="19">
        <f t="shared" si="2"/>
        <v>521.85082872928183</v>
      </c>
      <c r="M7" s="19">
        <v>600</v>
      </c>
      <c r="N7" s="23">
        <f t="shared" si="3"/>
        <v>2.0049999999999999</v>
      </c>
      <c r="O7" s="23">
        <f t="shared" si="4"/>
        <v>0.50124999999999997</v>
      </c>
    </row>
    <row r="8" spans="1:15" x14ac:dyDescent="0.2">
      <c r="A8" s="8">
        <v>7</v>
      </c>
      <c r="B8" s="2">
        <v>698742368</v>
      </c>
      <c r="C8" s="2" t="s">
        <v>19</v>
      </c>
      <c r="D8" s="7">
        <v>45658</v>
      </c>
      <c r="E8" s="7">
        <v>45747</v>
      </c>
      <c r="F8" s="16">
        <f>'Q4-24'!I8</f>
        <v>1105</v>
      </c>
      <c r="G8" s="16">
        <v>870</v>
      </c>
      <c r="H8" s="16">
        <v>907</v>
      </c>
      <c r="I8" s="16">
        <f t="shared" si="5"/>
        <v>1068</v>
      </c>
      <c r="J8" s="17">
        <f t="shared" si="0"/>
        <v>1086.5</v>
      </c>
      <c r="K8" s="18">
        <f t="shared" si="1"/>
        <v>0.83479061205706395</v>
      </c>
      <c r="L8" s="19">
        <f t="shared" si="2"/>
        <v>431.24586549062843</v>
      </c>
      <c r="M8" s="19">
        <v>900</v>
      </c>
      <c r="N8" s="23">
        <f t="shared" si="3"/>
        <v>1.1866666666666668</v>
      </c>
      <c r="O8" s="23">
        <f t="shared" si="4"/>
        <v>0.29666666666666669</v>
      </c>
    </row>
    <row r="9" spans="1:15" x14ac:dyDescent="0.2">
      <c r="A9" s="8">
        <v>8</v>
      </c>
      <c r="B9" s="2">
        <v>752147896</v>
      </c>
      <c r="C9" s="2" t="s">
        <v>20</v>
      </c>
      <c r="D9" s="7">
        <v>45658</v>
      </c>
      <c r="E9" s="7">
        <v>45747</v>
      </c>
      <c r="F9" s="16">
        <f>'Q4-24'!I9</f>
        <v>3914</v>
      </c>
      <c r="G9" s="16">
        <v>240</v>
      </c>
      <c r="H9" s="16">
        <v>398</v>
      </c>
      <c r="I9" s="16">
        <f t="shared" si="5"/>
        <v>3756</v>
      </c>
      <c r="J9" s="17">
        <f t="shared" si="0"/>
        <v>3835</v>
      </c>
      <c r="K9" s="18">
        <f t="shared" si="1"/>
        <v>0.10378096479791395</v>
      </c>
      <c r="L9" s="19">
        <f t="shared" si="2"/>
        <v>3468.8442211055276</v>
      </c>
      <c r="M9" s="19">
        <v>400</v>
      </c>
      <c r="N9" s="23">
        <f t="shared" si="3"/>
        <v>9.39</v>
      </c>
      <c r="O9" s="23">
        <f t="shared" si="4"/>
        <v>2.3475000000000001</v>
      </c>
    </row>
    <row r="10" spans="1:15" x14ac:dyDescent="0.2">
      <c r="A10" s="8">
        <v>9</v>
      </c>
      <c r="B10" s="2">
        <v>698753010</v>
      </c>
      <c r="C10" s="2" t="s">
        <v>21</v>
      </c>
      <c r="D10" s="7">
        <v>45658</v>
      </c>
      <c r="E10" s="7">
        <v>45747</v>
      </c>
      <c r="F10" s="16">
        <f>'Q4-24'!I10</f>
        <v>821</v>
      </c>
      <c r="G10" s="16">
        <v>35</v>
      </c>
      <c r="H10" s="16">
        <v>327</v>
      </c>
      <c r="I10" s="16">
        <f t="shared" si="5"/>
        <v>529</v>
      </c>
      <c r="J10" s="17">
        <f t="shared" si="0"/>
        <v>675</v>
      </c>
      <c r="K10" s="18">
        <f t="shared" si="1"/>
        <v>0.48444444444444446</v>
      </c>
      <c r="L10" s="19">
        <f t="shared" si="2"/>
        <v>743.11926605504584</v>
      </c>
      <c r="M10" s="19">
        <v>250</v>
      </c>
      <c r="N10" s="23">
        <f t="shared" si="3"/>
        <v>2.1160000000000001</v>
      </c>
      <c r="O10" s="23">
        <f t="shared" si="4"/>
        <v>0.52900000000000003</v>
      </c>
    </row>
    <row r="11" spans="1:15" x14ac:dyDescent="0.2">
      <c r="A11" s="8">
        <v>10</v>
      </c>
      <c r="B11" s="2">
        <v>973156840</v>
      </c>
      <c r="C11" s="2" t="s">
        <v>14</v>
      </c>
      <c r="D11" s="7">
        <v>45658</v>
      </c>
      <c r="E11" s="7">
        <v>45747</v>
      </c>
      <c r="F11" s="16">
        <f>'Q4-24'!I11</f>
        <v>903</v>
      </c>
      <c r="G11" s="16">
        <v>0</v>
      </c>
      <c r="H11" s="16">
        <v>270</v>
      </c>
      <c r="I11" s="16">
        <f t="shared" si="5"/>
        <v>633</v>
      </c>
      <c r="J11" s="17">
        <f t="shared" si="0"/>
        <v>768</v>
      </c>
      <c r="K11" s="18">
        <f t="shared" si="1"/>
        <v>0.3515625</v>
      </c>
      <c r="L11" s="19">
        <f t="shared" si="2"/>
        <v>1024</v>
      </c>
      <c r="M11" s="19">
        <v>350</v>
      </c>
      <c r="N11" s="23">
        <f t="shared" si="3"/>
        <v>1.8085714285714285</v>
      </c>
      <c r="O11" s="23">
        <f t="shared" si="4"/>
        <v>0.45214285714285712</v>
      </c>
    </row>
    <row r="12" spans="1:15" x14ac:dyDescent="0.2">
      <c r="A12" s="8">
        <v>11</v>
      </c>
      <c r="B12" s="2">
        <v>259874130</v>
      </c>
      <c r="C12" s="2" t="s">
        <v>22</v>
      </c>
      <c r="D12" s="7">
        <v>45658</v>
      </c>
      <c r="E12" s="7">
        <v>45747</v>
      </c>
      <c r="F12" s="16">
        <f>'Q4-24'!I12</f>
        <v>3173</v>
      </c>
      <c r="G12" s="16">
        <v>457</v>
      </c>
      <c r="H12" s="16">
        <v>999</v>
      </c>
      <c r="I12" s="16">
        <f t="shared" si="5"/>
        <v>2631</v>
      </c>
      <c r="J12" s="17">
        <f t="shared" si="0"/>
        <v>2902</v>
      </c>
      <c r="K12" s="18">
        <f t="shared" si="1"/>
        <v>0.34424534803583734</v>
      </c>
      <c r="L12" s="19">
        <f t="shared" si="2"/>
        <v>1045.7657657657658</v>
      </c>
      <c r="M12" s="19">
        <v>1000</v>
      </c>
      <c r="N12" s="23">
        <f t="shared" si="3"/>
        <v>2.6309999999999998</v>
      </c>
      <c r="O12" s="23">
        <f t="shared" si="4"/>
        <v>0.65774999999999995</v>
      </c>
    </row>
    <row r="13" spans="1:15" x14ac:dyDescent="0.2">
      <c r="A13" s="8">
        <v>12</v>
      </c>
      <c r="B13" s="2">
        <v>752147896</v>
      </c>
      <c r="C13" s="2" t="s">
        <v>20</v>
      </c>
      <c r="D13" s="7">
        <v>45658</v>
      </c>
      <c r="E13" s="7">
        <v>45747</v>
      </c>
      <c r="F13" s="16">
        <f>'Q4-24'!I13</f>
        <v>203</v>
      </c>
      <c r="G13" s="16">
        <v>960</v>
      </c>
      <c r="H13" s="16">
        <v>197</v>
      </c>
      <c r="I13" s="16">
        <f t="shared" si="5"/>
        <v>966</v>
      </c>
      <c r="J13" s="17">
        <f t="shared" si="0"/>
        <v>584.5</v>
      </c>
      <c r="K13" s="18">
        <f t="shared" si="1"/>
        <v>0.33704020530367834</v>
      </c>
      <c r="L13" s="19">
        <f t="shared" si="2"/>
        <v>1068.1218274111675</v>
      </c>
      <c r="M13" s="19">
        <v>200</v>
      </c>
      <c r="N13" s="23">
        <f t="shared" si="3"/>
        <v>4.83</v>
      </c>
      <c r="O13" s="23">
        <f t="shared" si="4"/>
        <v>1.2075</v>
      </c>
    </row>
    <row r="14" spans="1:15" x14ac:dyDescent="0.2">
      <c r="A14" s="8">
        <v>13</v>
      </c>
      <c r="B14" s="2">
        <v>987453210</v>
      </c>
      <c r="C14" s="2" t="s">
        <v>23</v>
      </c>
      <c r="D14" s="7">
        <v>45658</v>
      </c>
      <c r="E14" s="7">
        <v>45747</v>
      </c>
      <c r="F14" s="16">
        <f>'Q4-24'!I14</f>
        <v>50</v>
      </c>
      <c r="G14" s="16">
        <v>487</v>
      </c>
      <c r="H14" s="16">
        <v>230</v>
      </c>
      <c r="I14" s="16">
        <f t="shared" si="5"/>
        <v>307</v>
      </c>
      <c r="J14" s="17">
        <f t="shared" si="0"/>
        <v>178.5</v>
      </c>
      <c r="K14" s="18">
        <f t="shared" si="1"/>
        <v>1.2885154061624651</v>
      </c>
      <c r="L14" s="19">
        <f t="shared" si="2"/>
        <v>279.39130434782606</v>
      </c>
      <c r="M14" s="19">
        <v>225</v>
      </c>
      <c r="N14" s="23">
        <f t="shared" si="3"/>
        <v>1.3644444444444443</v>
      </c>
      <c r="O14" s="23">
        <f t="shared" si="4"/>
        <v>0.34111111111111109</v>
      </c>
    </row>
    <row r="15" spans="1:15" x14ac:dyDescent="0.2">
      <c r="A15" s="8">
        <v>14</v>
      </c>
      <c r="B15" s="2">
        <v>789650214</v>
      </c>
      <c r="C15" s="2" t="s">
        <v>24</v>
      </c>
      <c r="D15" s="7">
        <v>45658</v>
      </c>
      <c r="E15" s="7">
        <v>45747</v>
      </c>
      <c r="F15" s="16">
        <f>'Q4-24'!I15</f>
        <v>990</v>
      </c>
      <c r="G15" s="16">
        <v>241</v>
      </c>
      <c r="H15" s="16">
        <v>121</v>
      </c>
      <c r="I15" s="16">
        <f t="shared" si="5"/>
        <v>1110</v>
      </c>
      <c r="J15" s="17">
        <f t="shared" si="0"/>
        <v>1050</v>
      </c>
      <c r="K15" s="18">
        <f t="shared" si="1"/>
        <v>0.11523809523809524</v>
      </c>
      <c r="L15" s="19">
        <f t="shared" si="2"/>
        <v>3123.9669421487602</v>
      </c>
      <c r="M15" s="19">
        <v>124</v>
      </c>
      <c r="N15" s="23">
        <f t="shared" si="3"/>
        <v>8.9516129032258061</v>
      </c>
      <c r="O15" s="23">
        <f t="shared" si="4"/>
        <v>2.2379032258064515</v>
      </c>
    </row>
    <row r="16" spans="1:15" x14ac:dyDescent="0.2">
      <c r="A16" s="8">
        <v>15</v>
      </c>
      <c r="B16" s="2">
        <v>147896576</v>
      </c>
      <c r="C16" s="2" t="s">
        <v>25</v>
      </c>
      <c r="D16" s="7">
        <v>45658</v>
      </c>
      <c r="E16" s="7">
        <v>45747</v>
      </c>
      <c r="F16" s="16">
        <f>'Q4-24'!I16</f>
        <v>18472</v>
      </c>
      <c r="G16" s="16">
        <v>0</v>
      </c>
      <c r="H16" s="16">
        <v>821</v>
      </c>
      <c r="I16" s="16">
        <f t="shared" si="5"/>
        <v>17651</v>
      </c>
      <c r="J16" s="17">
        <f t="shared" si="0"/>
        <v>18061.5</v>
      </c>
      <c r="K16" s="18">
        <f t="shared" si="1"/>
        <v>4.5455803781524237E-2</v>
      </c>
      <c r="L16" s="19">
        <f t="shared" si="2"/>
        <v>7919.7807551766136</v>
      </c>
      <c r="M16" s="19">
        <v>780</v>
      </c>
      <c r="N16" s="23">
        <f t="shared" si="3"/>
        <v>22.629487179487178</v>
      </c>
      <c r="O16" s="23">
        <f t="shared" si="4"/>
        <v>5.6573717948717945</v>
      </c>
    </row>
    <row r="17" spans="1:15" x14ac:dyDescent="0.2">
      <c r="A17" s="8">
        <v>16</v>
      </c>
      <c r="B17" s="2">
        <v>217856258</v>
      </c>
      <c r="C17" s="2" t="s">
        <v>26</v>
      </c>
      <c r="D17" s="7">
        <v>45658</v>
      </c>
      <c r="E17" s="7">
        <v>45747</v>
      </c>
      <c r="F17" s="16">
        <f>'Q4-24'!I17</f>
        <v>10403</v>
      </c>
      <c r="G17" s="16">
        <v>5625</v>
      </c>
      <c r="H17" s="16">
        <v>8421</v>
      </c>
      <c r="I17" s="16">
        <f t="shared" si="5"/>
        <v>7607</v>
      </c>
      <c r="J17" s="17">
        <f t="shared" si="0"/>
        <v>9005</v>
      </c>
      <c r="K17" s="18">
        <f t="shared" si="1"/>
        <v>0.93514714047751246</v>
      </c>
      <c r="L17" s="19">
        <f t="shared" si="2"/>
        <v>384.96615603847528</v>
      </c>
      <c r="M17" s="19">
        <v>8500</v>
      </c>
      <c r="N17" s="23">
        <f t="shared" si="3"/>
        <v>0.89494117647058824</v>
      </c>
      <c r="O17" s="23">
        <f t="shared" si="4"/>
        <v>0.22373529411764706</v>
      </c>
    </row>
    <row r="18" spans="1:15" x14ac:dyDescent="0.2">
      <c r="A18" s="8">
        <v>17</v>
      </c>
      <c r="B18" s="2">
        <v>586971430</v>
      </c>
      <c r="C18" s="2" t="s">
        <v>27</v>
      </c>
      <c r="D18" s="7">
        <v>45658</v>
      </c>
      <c r="E18" s="7">
        <v>45747</v>
      </c>
      <c r="F18" s="16">
        <f>'Q4-24'!I18</f>
        <v>1399</v>
      </c>
      <c r="G18" s="16">
        <v>500</v>
      </c>
      <c r="H18" s="16">
        <v>307</v>
      </c>
      <c r="I18" s="16">
        <f t="shared" si="5"/>
        <v>1592</v>
      </c>
      <c r="J18" s="17">
        <f t="shared" si="0"/>
        <v>1495.5</v>
      </c>
      <c r="K18" s="18">
        <f t="shared" si="1"/>
        <v>0.20528251420929455</v>
      </c>
      <c r="L18" s="19">
        <f t="shared" si="2"/>
        <v>1753.6807817589577</v>
      </c>
      <c r="M18" s="19">
        <v>250</v>
      </c>
      <c r="N18" s="23">
        <f t="shared" si="3"/>
        <v>6.3680000000000003</v>
      </c>
      <c r="O18" s="23">
        <f t="shared" si="4"/>
        <v>1.5920000000000001</v>
      </c>
    </row>
    <row r="19" spans="1:15" x14ac:dyDescent="0.2">
      <c r="A19" s="8">
        <v>18</v>
      </c>
      <c r="B19" s="2">
        <v>201468734</v>
      </c>
      <c r="C19" s="2" t="s">
        <v>28</v>
      </c>
      <c r="D19" s="7">
        <v>45658</v>
      </c>
      <c r="E19" s="7">
        <v>45747</v>
      </c>
      <c r="F19" s="16">
        <f>'Q4-24'!I19</f>
        <v>1849</v>
      </c>
      <c r="G19" s="16">
        <v>1</v>
      </c>
      <c r="H19" s="16">
        <v>360</v>
      </c>
      <c r="I19" s="16">
        <f t="shared" si="5"/>
        <v>1490</v>
      </c>
      <c r="J19" s="17">
        <f t="shared" si="0"/>
        <v>1669.5</v>
      </c>
      <c r="K19" s="18">
        <f t="shared" si="1"/>
        <v>0.215633423180593</v>
      </c>
      <c r="L19" s="19">
        <f t="shared" si="2"/>
        <v>1669.5</v>
      </c>
      <c r="M19" s="19">
        <v>361.79999999999995</v>
      </c>
      <c r="N19" s="23">
        <f t="shared" si="3"/>
        <v>4.1182974018794916</v>
      </c>
      <c r="O19" s="23">
        <f t="shared" si="4"/>
        <v>1.0295743504698729</v>
      </c>
    </row>
    <row r="20" spans="1:15" x14ac:dyDescent="0.2">
      <c r="A20" s="8">
        <v>19</v>
      </c>
      <c r="B20" s="2">
        <v>698753010</v>
      </c>
      <c r="C20" s="2" t="s">
        <v>21</v>
      </c>
      <c r="D20" s="7">
        <v>45658</v>
      </c>
      <c r="E20" s="7">
        <v>45747</v>
      </c>
      <c r="F20" s="16">
        <f>'Q4-24'!I20</f>
        <v>6915</v>
      </c>
      <c r="G20" s="16">
        <v>9</v>
      </c>
      <c r="H20" s="16">
        <v>347</v>
      </c>
      <c r="I20" s="16">
        <f t="shared" si="5"/>
        <v>6577</v>
      </c>
      <c r="J20" s="17">
        <f t="shared" si="0"/>
        <v>6746</v>
      </c>
      <c r="K20" s="18">
        <f t="shared" si="1"/>
        <v>5.1437889119478213E-2</v>
      </c>
      <c r="L20" s="19">
        <f t="shared" si="2"/>
        <v>6998.7319884726221</v>
      </c>
      <c r="M20" s="19">
        <v>346.20000000000005</v>
      </c>
      <c r="N20" s="23">
        <f t="shared" si="3"/>
        <v>18.997689196995953</v>
      </c>
      <c r="O20" s="23">
        <f t="shared" si="4"/>
        <v>4.7494222992489883</v>
      </c>
    </row>
    <row r="21" spans="1:15" x14ac:dyDescent="0.2">
      <c r="A21" s="8">
        <v>20</v>
      </c>
      <c r="B21" s="2">
        <v>697521001</v>
      </c>
      <c r="C21" s="2" t="s">
        <v>29</v>
      </c>
      <c r="D21" s="7">
        <v>45658</v>
      </c>
      <c r="E21" s="7">
        <v>45747</v>
      </c>
      <c r="F21" s="16">
        <f>'Q4-24'!I21</f>
        <v>1979</v>
      </c>
      <c r="G21" s="16">
        <v>27</v>
      </c>
      <c r="H21" s="16">
        <v>350</v>
      </c>
      <c r="I21" s="16">
        <f t="shared" si="5"/>
        <v>1656</v>
      </c>
      <c r="J21" s="17">
        <f t="shared" si="0"/>
        <v>1817.5</v>
      </c>
      <c r="K21" s="18">
        <f t="shared" si="1"/>
        <v>0.19257221458046767</v>
      </c>
      <c r="L21" s="19">
        <f t="shared" si="2"/>
        <v>1869.4285714285716</v>
      </c>
      <c r="M21" s="19">
        <v>345.6</v>
      </c>
      <c r="N21" s="23">
        <f t="shared" si="3"/>
        <v>4.7916666666666661</v>
      </c>
      <c r="O21" s="23">
        <f t="shared" si="4"/>
        <v>1.1979166666666665</v>
      </c>
    </row>
    <row r="22" spans="1:15" x14ac:dyDescent="0.2">
      <c r="A22" s="8">
        <v>21</v>
      </c>
      <c r="B22" s="2">
        <v>403587047</v>
      </c>
      <c r="C22" s="2" t="s">
        <v>30</v>
      </c>
      <c r="D22" s="7">
        <v>45658</v>
      </c>
      <c r="E22" s="7">
        <v>45747</v>
      </c>
      <c r="F22" s="16">
        <f>'Q4-24'!I22</f>
        <v>9343</v>
      </c>
      <c r="G22" s="16">
        <v>101</v>
      </c>
      <c r="H22" s="16">
        <v>307</v>
      </c>
      <c r="I22" s="16">
        <f t="shared" si="5"/>
        <v>9137</v>
      </c>
      <c r="J22" s="17">
        <f t="shared" si="0"/>
        <v>9240</v>
      </c>
      <c r="K22" s="18">
        <f t="shared" si="1"/>
        <v>3.3225108225108227E-2</v>
      </c>
      <c r="L22" s="19">
        <f t="shared" si="2"/>
        <v>10835.179153094461</v>
      </c>
      <c r="M22" s="19">
        <v>330</v>
      </c>
      <c r="N22" s="23">
        <f t="shared" si="3"/>
        <v>27.687878787878788</v>
      </c>
      <c r="O22" s="23">
        <f t="shared" si="4"/>
        <v>6.9219696969696969</v>
      </c>
    </row>
    <row r="23" spans="1:15" x14ac:dyDescent="0.2">
      <c r="A23" s="8">
        <v>22</v>
      </c>
      <c r="B23" s="2">
        <v>250360478</v>
      </c>
      <c r="C23" s="2" t="s">
        <v>31</v>
      </c>
      <c r="D23" s="7">
        <v>45658</v>
      </c>
      <c r="E23" s="7">
        <v>45747</v>
      </c>
      <c r="F23" s="16">
        <f>'Q4-24'!I23</f>
        <v>2825</v>
      </c>
      <c r="G23" s="16">
        <v>325</v>
      </c>
      <c r="H23" s="16">
        <v>324</v>
      </c>
      <c r="I23" s="16">
        <f t="shared" si="5"/>
        <v>2826</v>
      </c>
      <c r="J23" s="17">
        <f t="shared" si="0"/>
        <v>2825.5</v>
      </c>
      <c r="K23" s="18">
        <f t="shared" si="1"/>
        <v>0.11466996991682887</v>
      </c>
      <c r="L23" s="19">
        <f t="shared" si="2"/>
        <v>3139.4444444444448</v>
      </c>
      <c r="M23" s="19">
        <v>324</v>
      </c>
      <c r="N23" s="23">
        <f t="shared" si="3"/>
        <v>8.7222222222222214</v>
      </c>
      <c r="O23" s="23">
        <f t="shared" si="4"/>
        <v>2.1805555555555554</v>
      </c>
    </row>
    <row r="24" spans="1:15" x14ac:dyDescent="0.2">
      <c r="A24" s="8">
        <v>23</v>
      </c>
      <c r="B24" s="2">
        <v>369712587</v>
      </c>
      <c r="C24" s="2" t="s">
        <v>32</v>
      </c>
      <c r="D24" s="7">
        <v>45658</v>
      </c>
      <c r="E24" s="7">
        <v>45747</v>
      </c>
      <c r="F24" s="16">
        <f>'Q4-24'!I24</f>
        <v>1657</v>
      </c>
      <c r="G24" s="16">
        <v>11</v>
      </c>
      <c r="H24" s="16">
        <v>225</v>
      </c>
      <c r="I24" s="16">
        <f t="shared" si="5"/>
        <v>1443</v>
      </c>
      <c r="J24" s="17">
        <f t="shared" si="0"/>
        <v>1550</v>
      </c>
      <c r="K24" s="18">
        <f t="shared" si="1"/>
        <v>0.14516129032258066</v>
      </c>
      <c r="L24" s="19">
        <f t="shared" si="2"/>
        <v>2480</v>
      </c>
      <c r="M24" s="19">
        <v>240</v>
      </c>
      <c r="N24" s="23">
        <f t="shared" si="3"/>
        <v>6.0125000000000002</v>
      </c>
      <c r="O24" s="23">
        <f t="shared" si="4"/>
        <v>1.503125</v>
      </c>
    </row>
    <row r="25" spans="1:15" x14ac:dyDescent="0.2">
      <c r="A25" s="8">
        <v>24</v>
      </c>
      <c r="B25" s="2">
        <v>236547852</v>
      </c>
      <c r="C25" s="2" t="s">
        <v>33</v>
      </c>
      <c r="D25" s="7">
        <v>45658</v>
      </c>
      <c r="E25" s="7">
        <v>45747</v>
      </c>
      <c r="F25" s="16">
        <f>'Q4-24'!I25</f>
        <v>231</v>
      </c>
      <c r="G25" s="16">
        <v>870</v>
      </c>
      <c r="H25" s="16">
        <v>256</v>
      </c>
      <c r="I25" s="16">
        <f t="shared" si="5"/>
        <v>845</v>
      </c>
      <c r="J25" s="17">
        <f t="shared" si="0"/>
        <v>538</v>
      </c>
      <c r="K25" s="18">
        <f t="shared" si="1"/>
        <v>0.47583643122676578</v>
      </c>
      <c r="L25" s="19">
        <f t="shared" si="2"/>
        <v>756.5625</v>
      </c>
      <c r="M25" s="19">
        <v>270</v>
      </c>
      <c r="N25" s="23">
        <f t="shared" si="3"/>
        <v>3.1296296296296298</v>
      </c>
      <c r="O25" s="23">
        <f t="shared" si="4"/>
        <v>0.78240740740740744</v>
      </c>
    </row>
    <row r="26" spans="1:15" x14ac:dyDescent="0.2">
      <c r="A26" s="8">
        <v>25</v>
      </c>
      <c r="B26" s="2">
        <v>258963214</v>
      </c>
      <c r="C26" s="2" t="s">
        <v>34</v>
      </c>
      <c r="D26" s="7">
        <v>45658</v>
      </c>
      <c r="E26" s="7">
        <v>45747</v>
      </c>
      <c r="F26" s="16">
        <f>'Q4-24'!I26</f>
        <v>675</v>
      </c>
      <c r="G26" s="16">
        <v>0</v>
      </c>
      <c r="H26" s="16">
        <v>241</v>
      </c>
      <c r="I26" s="16">
        <f t="shared" si="5"/>
        <v>434</v>
      </c>
      <c r="J26" s="17">
        <f t="shared" si="0"/>
        <v>554.5</v>
      </c>
      <c r="K26" s="18">
        <f t="shared" si="1"/>
        <v>0.43462578899909826</v>
      </c>
      <c r="L26" s="19">
        <f t="shared" si="2"/>
        <v>828.29875518672202</v>
      </c>
      <c r="M26" s="19">
        <v>230</v>
      </c>
      <c r="N26" s="23">
        <f t="shared" si="3"/>
        <v>1.8869565217391304</v>
      </c>
      <c r="O26" s="23">
        <f t="shared" si="4"/>
        <v>0.47173913043478261</v>
      </c>
    </row>
    <row r="27" spans="1:15" x14ac:dyDescent="0.2">
      <c r="A27" s="8">
        <v>26</v>
      </c>
      <c r="B27" s="2">
        <v>578931478</v>
      </c>
      <c r="C27" s="2" t="s">
        <v>15</v>
      </c>
      <c r="D27" s="7">
        <v>45658</v>
      </c>
      <c r="E27" s="7">
        <v>45747</v>
      </c>
      <c r="F27" s="16">
        <f>'Q4-24'!I27</f>
        <v>307</v>
      </c>
      <c r="G27" s="16">
        <v>390</v>
      </c>
      <c r="H27" s="16">
        <v>300</v>
      </c>
      <c r="I27" s="16">
        <f t="shared" si="5"/>
        <v>397</v>
      </c>
      <c r="J27" s="17">
        <f t="shared" si="0"/>
        <v>352</v>
      </c>
      <c r="K27" s="18">
        <f t="shared" si="1"/>
        <v>0.85227272727272729</v>
      </c>
      <c r="L27" s="19">
        <f t="shared" si="2"/>
        <v>422.4</v>
      </c>
      <c r="M27" s="19">
        <v>250</v>
      </c>
      <c r="N27" s="23">
        <f t="shared" si="3"/>
        <v>1.5880000000000001</v>
      </c>
      <c r="O27" s="23">
        <f t="shared" si="4"/>
        <v>0.39700000000000002</v>
      </c>
    </row>
    <row r="28" spans="1:15" x14ac:dyDescent="0.2">
      <c r="A28" s="8">
        <v>27</v>
      </c>
      <c r="B28" s="2">
        <v>217856258</v>
      </c>
      <c r="C28" s="2" t="s">
        <v>26</v>
      </c>
      <c r="D28" s="7">
        <v>45658</v>
      </c>
      <c r="E28" s="7">
        <v>45747</v>
      </c>
      <c r="F28" s="16">
        <f>'Q4-24'!I28</f>
        <v>209</v>
      </c>
      <c r="G28" s="16">
        <v>2309</v>
      </c>
      <c r="H28" s="16">
        <v>827</v>
      </c>
      <c r="I28" s="16">
        <f t="shared" si="5"/>
        <v>1691</v>
      </c>
      <c r="J28" s="17">
        <f t="shared" si="0"/>
        <v>950</v>
      </c>
      <c r="K28" s="18">
        <f t="shared" si="1"/>
        <v>0.8705263157894737</v>
      </c>
      <c r="L28" s="19">
        <f t="shared" si="2"/>
        <v>413.54292623941956</v>
      </c>
      <c r="M28" s="19">
        <v>800</v>
      </c>
      <c r="N28" s="23">
        <f t="shared" si="3"/>
        <v>2.11375</v>
      </c>
      <c r="O28" s="23">
        <f t="shared" si="4"/>
        <v>0.5284375</v>
      </c>
    </row>
    <row r="29" spans="1:15" x14ac:dyDescent="0.2">
      <c r="A29" s="8">
        <v>28</v>
      </c>
      <c r="B29" s="2">
        <v>369874522</v>
      </c>
      <c r="C29" s="2" t="s">
        <v>35</v>
      </c>
      <c r="D29" s="7">
        <v>45658</v>
      </c>
      <c r="E29" s="7">
        <v>45747</v>
      </c>
      <c r="F29" s="16">
        <f>'Q4-24'!I29</f>
        <v>769</v>
      </c>
      <c r="G29" s="16">
        <v>10</v>
      </c>
      <c r="H29" s="16">
        <v>105</v>
      </c>
      <c r="I29" s="16">
        <f t="shared" si="5"/>
        <v>674</v>
      </c>
      <c r="J29" s="17">
        <f t="shared" si="0"/>
        <v>721.5</v>
      </c>
      <c r="K29" s="18">
        <f t="shared" si="1"/>
        <v>0.14553014553014554</v>
      </c>
      <c r="L29" s="19">
        <f t="shared" si="2"/>
        <v>2473.7142857142858</v>
      </c>
      <c r="M29" s="19">
        <v>160</v>
      </c>
      <c r="N29" s="23">
        <f t="shared" si="3"/>
        <v>4.2125000000000004</v>
      </c>
      <c r="O29" s="23">
        <f t="shared" si="4"/>
        <v>1.0531250000000001</v>
      </c>
    </row>
    <row r="30" spans="1:15" x14ac:dyDescent="0.2">
      <c r="A30" s="8">
        <v>29</v>
      </c>
      <c r="B30" s="2">
        <v>329865147</v>
      </c>
      <c r="C30" s="2" t="s">
        <v>36</v>
      </c>
      <c r="D30" s="7">
        <v>45658</v>
      </c>
      <c r="E30" s="7">
        <v>45747</v>
      </c>
      <c r="F30" s="16">
        <f>'Q4-24'!I30</f>
        <v>159</v>
      </c>
      <c r="G30" s="16">
        <v>1347</v>
      </c>
      <c r="H30" s="16">
        <v>749</v>
      </c>
      <c r="I30" s="16">
        <f t="shared" si="5"/>
        <v>757</v>
      </c>
      <c r="J30" s="17">
        <f t="shared" si="0"/>
        <v>458</v>
      </c>
      <c r="K30" s="18">
        <f t="shared" si="1"/>
        <v>1.6353711790393013</v>
      </c>
      <c r="L30" s="19">
        <f t="shared" si="2"/>
        <v>220.13351134846462</v>
      </c>
      <c r="M30" s="19">
        <v>740</v>
      </c>
      <c r="N30" s="23">
        <f t="shared" si="3"/>
        <v>1.0229729729729731</v>
      </c>
      <c r="O30" s="23">
        <f t="shared" si="4"/>
        <v>0.25574324324324327</v>
      </c>
    </row>
    <row r="31" spans="1:15" x14ac:dyDescent="0.2">
      <c r="A31" s="8">
        <v>30</v>
      </c>
      <c r="B31" s="2">
        <v>659832741</v>
      </c>
      <c r="C31" s="2" t="s">
        <v>37</v>
      </c>
      <c r="D31" s="7">
        <v>45658</v>
      </c>
      <c r="E31" s="7">
        <v>45747</v>
      </c>
      <c r="F31" s="16">
        <f>'Q4-24'!I31</f>
        <v>785</v>
      </c>
      <c r="G31" s="16">
        <v>580</v>
      </c>
      <c r="H31" s="16">
        <v>550</v>
      </c>
      <c r="I31" s="16">
        <f t="shared" si="5"/>
        <v>815</v>
      </c>
      <c r="J31" s="17">
        <f t="shared" si="0"/>
        <v>800</v>
      </c>
      <c r="K31" s="18">
        <f t="shared" si="1"/>
        <v>0.6875</v>
      </c>
      <c r="L31" s="19">
        <f t="shared" si="2"/>
        <v>523.63636363636363</v>
      </c>
      <c r="M31" s="19">
        <v>560</v>
      </c>
      <c r="N31" s="23">
        <f t="shared" si="3"/>
        <v>1.4553571428571428</v>
      </c>
      <c r="O31" s="23">
        <f t="shared" si="4"/>
        <v>0.3638392857142857</v>
      </c>
    </row>
    <row r="32" spans="1:15" x14ac:dyDescent="0.2">
      <c r="A32" s="8">
        <v>31</v>
      </c>
      <c r="B32" s="2">
        <v>201478963</v>
      </c>
      <c r="C32" s="2" t="s">
        <v>38</v>
      </c>
      <c r="D32" s="7">
        <v>45658</v>
      </c>
      <c r="E32" s="7">
        <v>45747</v>
      </c>
      <c r="F32" s="16">
        <f>'Q4-24'!I32</f>
        <v>1110</v>
      </c>
      <c r="G32" s="16">
        <v>69</v>
      </c>
      <c r="H32" s="16">
        <v>429</v>
      </c>
      <c r="I32" s="16">
        <f t="shared" si="5"/>
        <v>750</v>
      </c>
      <c r="J32" s="17">
        <f t="shared" si="0"/>
        <v>930</v>
      </c>
      <c r="K32" s="18">
        <f t="shared" si="1"/>
        <v>0.46129032258064517</v>
      </c>
      <c r="L32" s="19">
        <f t="shared" si="2"/>
        <v>780.41958041958037</v>
      </c>
      <c r="M32" s="19">
        <v>430</v>
      </c>
      <c r="N32" s="23">
        <f t="shared" si="3"/>
        <v>1.7441860465116279</v>
      </c>
      <c r="O32" s="23">
        <f t="shared" si="4"/>
        <v>0.43604651162790697</v>
      </c>
    </row>
    <row r="33" spans="1:15" x14ac:dyDescent="0.2">
      <c r="A33" s="8">
        <v>32</v>
      </c>
      <c r="B33" s="2">
        <v>369874125</v>
      </c>
      <c r="C33" s="2" t="s">
        <v>39</v>
      </c>
      <c r="D33" s="7">
        <v>45658</v>
      </c>
      <c r="E33" s="7">
        <v>45747</v>
      </c>
      <c r="F33" s="16">
        <f>'Q4-24'!I33</f>
        <v>896</v>
      </c>
      <c r="G33" s="16">
        <v>0</v>
      </c>
      <c r="H33" s="16">
        <v>339</v>
      </c>
      <c r="I33" s="16">
        <f t="shared" si="5"/>
        <v>557</v>
      </c>
      <c r="J33" s="17">
        <f t="shared" si="0"/>
        <v>726.5</v>
      </c>
      <c r="K33" s="18">
        <f t="shared" si="1"/>
        <v>0.46662078458362011</v>
      </c>
      <c r="L33" s="19">
        <f t="shared" si="2"/>
        <v>771.50442477876106</v>
      </c>
      <c r="M33" s="19">
        <v>330</v>
      </c>
      <c r="N33" s="23">
        <f t="shared" si="3"/>
        <v>1.687878787878788</v>
      </c>
      <c r="O33" s="23">
        <f t="shared" si="4"/>
        <v>0.42196969696969699</v>
      </c>
    </row>
    <row r="34" spans="1:15" x14ac:dyDescent="0.2">
      <c r="A34" s="8">
        <v>33</v>
      </c>
      <c r="B34" s="2">
        <v>698753010</v>
      </c>
      <c r="C34" s="2" t="s">
        <v>21</v>
      </c>
      <c r="D34" s="7">
        <v>45658</v>
      </c>
      <c r="E34" s="7">
        <v>45747</v>
      </c>
      <c r="F34" s="16">
        <f>'Q4-24'!I34</f>
        <v>1116</v>
      </c>
      <c r="G34" s="16">
        <v>528</v>
      </c>
      <c r="H34" s="16">
        <v>409</v>
      </c>
      <c r="I34" s="16">
        <f t="shared" si="5"/>
        <v>1235</v>
      </c>
      <c r="J34" s="17">
        <f t="shared" si="0"/>
        <v>1175.5</v>
      </c>
      <c r="K34" s="18">
        <f t="shared" si="1"/>
        <v>0.34793704806465336</v>
      </c>
      <c r="L34" s="19">
        <f t="shared" si="2"/>
        <v>1034.6699266503667</v>
      </c>
      <c r="M34" s="19">
        <v>425</v>
      </c>
      <c r="N34" s="23">
        <f t="shared" si="3"/>
        <v>2.9058823529411764</v>
      </c>
      <c r="O34" s="23">
        <f t="shared" si="4"/>
        <v>0.72647058823529409</v>
      </c>
    </row>
    <row r="35" spans="1:15" x14ac:dyDescent="0.2">
      <c r="A35" s="8">
        <v>34</v>
      </c>
      <c r="B35" s="2">
        <v>794613528</v>
      </c>
      <c r="C35" s="2" t="s">
        <v>40</v>
      </c>
      <c r="D35" s="7">
        <v>45658</v>
      </c>
      <c r="E35" s="7">
        <v>45747</v>
      </c>
      <c r="F35" s="16">
        <f>'Q4-24'!I35</f>
        <v>361</v>
      </c>
      <c r="G35" s="16">
        <v>157</v>
      </c>
      <c r="H35" s="16">
        <v>116</v>
      </c>
      <c r="I35" s="16">
        <f t="shared" si="5"/>
        <v>402</v>
      </c>
      <c r="J35" s="17">
        <f t="shared" si="0"/>
        <v>381.5</v>
      </c>
      <c r="K35" s="18">
        <f t="shared" si="1"/>
        <v>0.30406290956749671</v>
      </c>
      <c r="L35" s="19">
        <f t="shared" si="2"/>
        <v>1183.9655172413793</v>
      </c>
      <c r="M35" s="19">
        <v>120</v>
      </c>
      <c r="N35" s="23">
        <f t="shared" si="3"/>
        <v>3.35</v>
      </c>
      <c r="O35" s="23">
        <f t="shared" si="4"/>
        <v>0.83750000000000002</v>
      </c>
    </row>
    <row r="36" spans="1:15" x14ac:dyDescent="0.2">
      <c r="A36" s="8">
        <v>35</v>
      </c>
      <c r="B36" s="2">
        <v>286314820</v>
      </c>
      <c r="C36" s="2" t="s">
        <v>41</v>
      </c>
      <c r="D36" s="7">
        <v>45658</v>
      </c>
      <c r="E36" s="7">
        <v>45747</v>
      </c>
      <c r="F36" s="16">
        <f>'Q4-24'!I36</f>
        <v>293</v>
      </c>
      <c r="G36" s="16">
        <v>460</v>
      </c>
      <c r="H36" s="16">
        <v>106</v>
      </c>
      <c r="I36" s="16">
        <f t="shared" si="5"/>
        <v>647</v>
      </c>
      <c r="J36" s="17">
        <f t="shared" si="0"/>
        <v>470</v>
      </c>
      <c r="K36" s="18">
        <f t="shared" si="1"/>
        <v>0.22553191489361701</v>
      </c>
      <c r="L36" s="19">
        <f t="shared" si="2"/>
        <v>1596.2264150943397</v>
      </c>
      <c r="M36" s="19">
        <v>100</v>
      </c>
      <c r="N36" s="23">
        <f t="shared" si="3"/>
        <v>6.47</v>
      </c>
      <c r="O36" s="23">
        <f t="shared" si="4"/>
        <v>1.6174999999999999</v>
      </c>
    </row>
    <row r="37" spans="1:15" x14ac:dyDescent="0.2">
      <c r="A37" s="8">
        <v>36</v>
      </c>
      <c r="B37" s="2">
        <v>333665478</v>
      </c>
      <c r="C37" s="2" t="s">
        <v>42</v>
      </c>
      <c r="D37" s="7">
        <v>45658</v>
      </c>
      <c r="E37" s="7">
        <v>45747</v>
      </c>
      <c r="F37" s="16">
        <f>'Q4-24'!I37</f>
        <v>1342</v>
      </c>
      <c r="G37" s="16">
        <v>0</v>
      </c>
      <c r="H37" s="16">
        <v>124</v>
      </c>
      <c r="I37" s="16">
        <f t="shared" si="5"/>
        <v>1218</v>
      </c>
      <c r="J37" s="17">
        <f t="shared" si="0"/>
        <v>1280</v>
      </c>
      <c r="K37" s="18">
        <f t="shared" si="1"/>
        <v>9.6875000000000003E-2</v>
      </c>
      <c r="L37" s="19">
        <f t="shared" si="2"/>
        <v>3716.1290322580644</v>
      </c>
      <c r="M37" s="19">
        <v>100</v>
      </c>
      <c r="N37" s="23">
        <f t="shared" si="3"/>
        <v>12.18</v>
      </c>
      <c r="O37" s="23">
        <f t="shared" si="4"/>
        <v>3.0449999999999999</v>
      </c>
    </row>
    <row r="38" spans="1:15" x14ac:dyDescent="0.2">
      <c r="A38" s="8">
        <v>37</v>
      </c>
      <c r="B38" s="2">
        <v>995432017</v>
      </c>
      <c r="C38" s="2" t="s">
        <v>43</v>
      </c>
      <c r="D38" s="7">
        <v>45658</v>
      </c>
      <c r="E38" s="7">
        <v>45747</v>
      </c>
      <c r="F38" s="16">
        <f>'Q4-24'!I38</f>
        <v>388</v>
      </c>
      <c r="G38" s="16">
        <v>1400</v>
      </c>
      <c r="H38" s="16">
        <v>785</v>
      </c>
      <c r="I38" s="16">
        <f t="shared" si="5"/>
        <v>1003</v>
      </c>
      <c r="J38" s="17">
        <f t="shared" si="0"/>
        <v>695.5</v>
      </c>
      <c r="K38" s="18">
        <f t="shared" si="1"/>
        <v>1.1286843997124372</v>
      </c>
      <c r="L38" s="19">
        <f t="shared" si="2"/>
        <v>318.95541401273886</v>
      </c>
      <c r="M38" s="19">
        <v>800</v>
      </c>
      <c r="N38" s="23">
        <f t="shared" si="3"/>
        <v>1.2537499999999999</v>
      </c>
      <c r="O38" s="23">
        <f t="shared" si="4"/>
        <v>0.31343749999999998</v>
      </c>
    </row>
    <row r="39" spans="1:15" x14ac:dyDescent="0.2">
      <c r="A39" s="8">
        <v>38</v>
      </c>
      <c r="B39" s="2">
        <v>783695210</v>
      </c>
      <c r="C39" s="2" t="s">
        <v>44</v>
      </c>
      <c r="D39" s="7">
        <v>45658</v>
      </c>
      <c r="E39" s="7">
        <v>45747</v>
      </c>
      <c r="F39" s="16">
        <f>'Q4-24'!I39</f>
        <v>427</v>
      </c>
      <c r="G39" s="16">
        <v>1600</v>
      </c>
      <c r="H39" s="16">
        <v>398</v>
      </c>
      <c r="I39" s="16">
        <f t="shared" si="5"/>
        <v>1629</v>
      </c>
      <c r="J39" s="17">
        <f t="shared" si="0"/>
        <v>1028</v>
      </c>
      <c r="K39" s="18">
        <f t="shared" si="1"/>
        <v>0.38715953307392997</v>
      </c>
      <c r="L39" s="19">
        <f t="shared" si="2"/>
        <v>929.8492462311558</v>
      </c>
      <c r="M39" s="19">
        <v>460</v>
      </c>
      <c r="N39" s="23">
        <f t="shared" si="3"/>
        <v>3.5413043478260868</v>
      </c>
      <c r="O39" s="23">
        <f t="shared" si="4"/>
        <v>0.88532608695652171</v>
      </c>
    </row>
    <row r="40" spans="1:15" x14ac:dyDescent="0.2">
      <c r="A40" s="8">
        <v>39</v>
      </c>
      <c r="B40" s="2">
        <v>127869354</v>
      </c>
      <c r="C40" s="2" t="s">
        <v>45</v>
      </c>
      <c r="D40" s="7">
        <v>45658</v>
      </c>
      <c r="E40" s="7">
        <v>45747</v>
      </c>
      <c r="F40" s="16">
        <f>'Q4-24'!I40</f>
        <v>743</v>
      </c>
      <c r="G40" s="16">
        <v>36</v>
      </c>
      <c r="H40" s="16">
        <v>85</v>
      </c>
      <c r="I40" s="16">
        <f t="shared" si="5"/>
        <v>694</v>
      </c>
      <c r="J40" s="17">
        <f t="shared" si="0"/>
        <v>718.5</v>
      </c>
      <c r="K40" s="18">
        <f t="shared" si="1"/>
        <v>0.11830201809324982</v>
      </c>
      <c r="L40" s="19">
        <f t="shared" si="2"/>
        <v>3043.0588235294117</v>
      </c>
      <c r="M40" s="19">
        <v>90</v>
      </c>
      <c r="N40" s="23">
        <f t="shared" si="3"/>
        <v>7.7111111111111112</v>
      </c>
      <c r="O40" s="23">
        <f t="shared" si="4"/>
        <v>1.9277777777777778</v>
      </c>
    </row>
    <row r="41" spans="1:15" x14ac:dyDescent="0.2">
      <c r="A41" s="8">
        <v>40</v>
      </c>
      <c r="B41" s="2">
        <v>410236987</v>
      </c>
      <c r="C41" s="2" t="s">
        <v>46</v>
      </c>
      <c r="D41" s="7">
        <v>45658</v>
      </c>
      <c r="E41" s="7">
        <v>45747</v>
      </c>
      <c r="F41" s="16">
        <f>'Q4-24'!I41</f>
        <v>925</v>
      </c>
      <c r="G41" s="16">
        <v>40</v>
      </c>
      <c r="H41" s="16">
        <v>580</v>
      </c>
      <c r="I41" s="16">
        <f t="shared" si="5"/>
        <v>385</v>
      </c>
      <c r="J41" s="17">
        <f t="shared" si="0"/>
        <v>655</v>
      </c>
      <c r="K41" s="18">
        <f t="shared" si="1"/>
        <v>0.8854961832061069</v>
      </c>
      <c r="L41" s="19">
        <f t="shared" si="2"/>
        <v>406.55172413793105</v>
      </c>
      <c r="M41" s="19">
        <v>610</v>
      </c>
      <c r="N41" s="23">
        <f t="shared" si="3"/>
        <v>0.63114754098360659</v>
      </c>
      <c r="O41" s="23">
        <f t="shared" si="4"/>
        <v>0.15778688524590165</v>
      </c>
    </row>
    <row r="42" spans="1:15" x14ac:dyDescent="0.2">
      <c r="A42" s="8">
        <v>41</v>
      </c>
      <c r="B42" s="2">
        <v>753159847</v>
      </c>
      <c r="C42" s="2" t="s">
        <v>47</v>
      </c>
      <c r="D42" s="7">
        <v>45658</v>
      </c>
      <c r="E42" s="7">
        <v>45747</v>
      </c>
      <c r="F42" s="16">
        <f>'Q4-24'!I42</f>
        <v>884</v>
      </c>
      <c r="G42" s="16">
        <v>290</v>
      </c>
      <c r="H42" s="16">
        <v>231</v>
      </c>
      <c r="I42" s="16">
        <f t="shared" si="5"/>
        <v>943</v>
      </c>
      <c r="J42" s="17">
        <f t="shared" si="0"/>
        <v>913.5</v>
      </c>
      <c r="K42" s="18">
        <f t="shared" si="1"/>
        <v>0.25287356321839083</v>
      </c>
      <c r="L42" s="19">
        <f t="shared" si="2"/>
        <v>1423.6363636363635</v>
      </c>
      <c r="M42" s="19">
        <v>230</v>
      </c>
      <c r="N42" s="23">
        <f t="shared" si="3"/>
        <v>4.0999999999999996</v>
      </c>
      <c r="O42" s="23">
        <f t="shared" si="4"/>
        <v>1.0249999999999999</v>
      </c>
    </row>
    <row r="43" spans="1:15" x14ac:dyDescent="0.2">
      <c r="A43" s="8">
        <v>42</v>
      </c>
      <c r="B43" s="2">
        <v>789321456</v>
      </c>
      <c r="C43" s="2" t="s">
        <v>48</v>
      </c>
      <c r="D43" s="7">
        <v>45658</v>
      </c>
      <c r="E43" s="7">
        <v>45747</v>
      </c>
      <c r="F43" s="16">
        <f>'Q4-24'!I43</f>
        <v>546</v>
      </c>
      <c r="G43" s="16">
        <v>2700</v>
      </c>
      <c r="H43" s="16">
        <v>1480</v>
      </c>
      <c r="I43" s="16">
        <f t="shared" si="5"/>
        <v>1766</v>
      </c>
      <c r="J43" s="17">
        <f t="shared" si="0"/>
        <v>1156</v>
      </c>
      <c r="K43" s="18">
        <f t="shared" si="1"/>
        <v>1.2802768166089966</v>
      </c>
      <c r="L43" s="19">
        <f t="shared" si="2"/>
        <v>281.18918918918916</v>
      </c>
      <c r="M43" s="19">
        <v>1520</v>
      </c>
      <c r="N43" s="23">
        <f t="shared" si="3"/>
        <v>1.1618421052631578</v>
      </c>
      <c r="O43" s="23">
        <f t="shared" si="4"/>
        <v>0.29046052631578945</v>
      </c>
    </row>
    <row r="44" spans="1:15" x14ac:dyDescent="0.2">
      <c r="A44" s="8">
        <v>43</v>
      </c>
      <c r="B44" s="2">
        <v>204587456</v>
      </c>
      <c r="C44" s="2" t="s">
        <v>49</v>
      </c>
      <c r="D44" s="7">
        <v>45658</v>
      </c>
      <c r="E44" s="7">
        <v>45747</v>
      </c>
      <c r="F44" s="16">
        <f>'Q4-24'!I44</f>
        <v>105</v>
      </c>
      <c r="G44" s="16">
        <v>210</v>
      </c>
      <c r="H44" s="16">
        <v>65</v>
      </c>
      <c r="I44" s="16">
        <f t="shared" si="5"/>
        <v>250</v>
      </c>
      <c r="J44" s="17">
        <f t="shared" si="0"/>
        <v>177.5</v>
      </c>
      <c r="K44" s="18">
        <f t="shared" si="1"/>
        <v>0.36619718309859156</v>
      </c>
      <c r="L44" s="19">
        <f t="shared" si="2"/>
        <v>983.07692307692309</v>
      </c>
      <c r="M44" s="19">
        <v>40</v>
      </c>
      <c r="N44" s="23">
        <f t="shared" si="3"/>
        <v>6.25</v>
      </c>
      <c r="O44" s="23">
        <f t="shared" si="4"/>
        <v>1.5625</v>
      </c>
    </row>
    <row r="45" spans="1:15" x14ac:dyDescent="0.2">
      <c r="A45" s="8">
        <v>44</v>
      </c>
      <c r="B45" s="2">
        <v>857674020</v>
      </c>
      <c r="C45" s="2" t="s">
        <v>50</v>
      </c>
      <c r="D45" s="7">
        <v>45658</v>
      </c>
      <c r="E45" s="7">
        <v>45747</v>
      </c>
      <c r="F45" s="16">
        <f>'Q4-24'!I45</f>
        <v>375</v>
      </c>
      <c r="G45" s="16">
        <v>1456</v>
      </c>
      <c r="H45" s="16">
        <v>510</v>
      </c>
      <c r="I45" s="16">
        <f t="shared" si="5"/>
        <v>1321</v>
      </c>
      <c r="J45" s="17">
        <f t="shared" si="0"/>
        <v>848</v>
      </c>
      <c r="K45" s="18">
        <f t="shared" si="1"/>
        <v>0.60141509433962259</v>
      </c>
      <c r="L45" s="19">
        <f t="shared" si="2"/>
        <v>598.58823529411768</v>
      </c>
      <c r="M45" s="19">
        <v>502</v>
      </c>
      <c r="N45" s="23">
        <f t="shared" si="3"/>
        <v>2.6314741035856573</v>
      </c>
      <c r="O45" s="23">
        <f t="shared" si="4"/>
        <v>0.65786852589641431</v>
      </c>
    </row>
    <row r="46" spans="1:15" x14ac:dyDescent="0.2">
      <c r="A46" s="8">
        <v>45</v>
      </c>
      <c r="B46" s="2">
        <v>857674721</v>
      </c>
      <c r="C46" s="2" t="s">
        <v>51</v>
      </c>
      <c r="D46" s="7">
        <v>45658</v>
      </c>
      <c r="E46" s="7">
        <v>45747</v>
      </c>
      <c r="F46" s="16">
        <f>'Q4-24'!I46</f>
        <v>324</v>
      </c>
      <c r="G46" s="16">
        <v>405</v>
      </c>
      <c r="H46" s="16">
        <v>400</v>
      </c>
      <c r="I46" s="16">
        <f t="shared" si="5"/>
        <v>329</v>
      </c>
      <c r="J46" s="17">
        <f t="shared" si="0"/>
        <v>326.5</v>
      </c>
      <c r="K46" s="18">
        <f t="shared" si="1"/>
        <v>1.2251148545176109</v>
      </c>
      <c r="L46" s="19">
        <f t="shared" si="2"/>
        <v>293.85000000000002</v>
      </c>
      <c r="M46" s="19">
        <v>410</v>
      </c>
      <c r="N46" s="23">
        <f t="shared" si="3"/>
        <v>0.80243902439024395</v>
      </c>
      <c r="O46" s="23">
        <f t="shared" si="4"/>
        <v>0.20060975609756099</v>
      </c>
    </row>
    <row r="47" spans="1:15" x14ac:dyDescent="0.2">
      <c r="A47" s="8">
        <v>46</v>
      </c>
      <c r="B47" s="2">
        <v>986325784</v>
      </c>
      <c r="C47" s="2" t="s">
        <v>52</v>
      </c>
      <c r="D47" s="7">
        <v>45658</v>
      </c>
      <c r="E47" s="7">
        <v>45747</v>
      </c>
      <c r="F47" s="16">
        <f>'Q4-24'!I47</f>
        <v>985</v>
      </c>
      <c r="G47" s="16">
        <v>0</v>
      </c>
      <c r="H47" s="16">
        <v>116</v>
      </c>
      <c r="I47" s="16">
        <f t="shared" si="5"/>
        <v>869</v>
      </c>
      <c r="J47" s="17">
        <f t="shared" si="0"/>
        <v>927</v>
      </c>
      <c r="K47" s="18">
        <f t="shared" si="1"/>
        <v>0.12513484358144553</v>
      </c>
      <c r="L47" s="19">
        <f t="shared" si="2"/>
        <v>2876.8965517241377</v>
      </c>
      <c r="M47" s="19">
        <v>120</v>
      </c>
      <c r="N47" s="23">
        <f t="shared" si="3"/>
        <v>7.2416666666666663</v>
      </c>
      <c r="O47" s="23">
        <f t="shared" si="4"/>
        <v>1.8104166666666666</v>
      </c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</sheetData>
  <autoFilter ref="A1:O47" xr:uid="{00000000-0001-0000-0000-000000000000}">
    <sortState xmlns:xlrd2="http://schemas.microsoft.com/office/spreadsheetml/2017/richdata2" ref="A2:O47">
      <sortCondition ref="A1"/>
    </sortState>
  </autoFilter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0EEF-5A69-4F71-811A-4B93290975F8}">
  <dimension ref="A1:O47"/>
  <sheetViews>
    <sheetView workbookViewId="0">
      <selection activeCell="L24" sqref="L24"/>
    </sheetView>
  </sheetViews>
  <sheetFormatPr baseColWidth="10" defaultColWidth="8.7109375" defaultRowHeight="12.75" x14ac:dyDescent="0.2"/>
  <cols>
    <col min="1" max="1" width="5.5703125" bestFit="1" customWidth="1"/>
    <col min="2" max="2" width="25.140625" bestFit="1" customWidth="1"/>
    <col min="3" max="3" width="42" bestFit="1" customWidth="1"/>
    <col min="4" max="5" width="9.5703125" bestFit="1" customWidth="1"/>
    <col min="6" max="6" width="13.42578125" style="15" bestFit="1" customWidth="1"/>
    <col min="7" max="7" width="6.42578125" style="15" bestFit="1" customWidth="1"/>
    <col min="8" max="8" width="6.85546875" style="15" bestFit="1" customWidth="1"/>
    <col min="9" max="9" width="10.140625" style="15" bestFit="1" customWidth="1"/>
    <col min="10" max="10" width="17.28515625" style="15" bestFit="1" customWidth="1"/>
    <col min="11" max="11" width="4.85546875" style="15" bestFit="1" customWidth="1"/>
    <col min="12" max="12" width="18.5703125" style="15" bestFit="1" customWidth="1"/>
    <col min="13" max="13" width="22.140625" style="15" bestFit="1" customWidth="1"/>
    <col min="14" max="14" width="14.28515625" style="15" bestFit="1" customWidth="1"/>
    <col min="15" max="15" width="12.85546875" style="15" bestFit="1" customWidth="1"/>
  </cols>
  <sheetData>
    <row r="1" spans="1:15" ht="51" x14ac:dyDescent="0.2">
      <c r="A1" s="4" t="s">
        <v>11</v>
      </c>
      <c r="B1" s="4" t="s">
        <v>0</v>
      </c>
      <c r="C1" s="4" t="s">
        <v>9</v>
      </c>
      <c r="D1" s="4" t="s">
        <v>1</v>
      </c>
      <c r="E1" s="4" t="s">
        <v>2</v>
      </c>
      <c r="F1" s="5" t="s">
        <v>55</v>
      </c>
      <c r="G1" s="5" t="s">
        <v>56</v>
      </c>
      <c r="H1" s="5" t="s">
        <v>57</v>
      </c>
      <c r="I1" s="5" t="s">
        <v>58</v>
      </c>
      <c r="J1" s="6" t="s">
        <v>59</v>
      </c>
      <c r="K1" s="6" t="s">
        <v>10</v>
      </c>
      <c r="L1" s="6" t="s">
        <v>60</v>
      </c>
      <c r="M1" s="6" t="s">
        <v>61</v>
      </c>
      <c r="N1" s="6" t="s">
        <v>62</v>
      </c>
      <c r="O1" s="6" t="s">
        <v>63</v>
      </c>
    </row>
    <row r="2" spans="1:15" x14ac:dyDescent="0.2">
      <c r="A2" s="8">
        <v>1</v>
      </c>
      <c r="B2" s="2">
        <v>356987401</v>
      </c>
      <c r="C2" s="2" t="s">
        <v>13</v>
      </c>
      <c r="D2" s="7">
        <v>45748</v>
      </c>
      <c r="E2" s="7">
        <v>45838</v>
      </c>
      <c r="F2" s="16">
        <f>'Q1-25'!I2</f>
        <v>25955</v>
      </c>
      <c r="G2" s="16">
        <v>30500</v>
      </c>
      <c r="H2" s="16">
        <v>25430</v>
      </c>
      <c r="I2" s="16">
        <f>F2+G2-H2</f>
        <v>31025</v>
      </c>
      <c r="J2" s="17">
        <f t="shared" ref="J2:J47" si="0">(F2+I2)/2</f>
        <v>28490</v>
      </c>
      <c r="K2" s="24">
        <f t="shared" ref="K2:K47" si="1">IFERROR((H2/J2),0)</f>
        <v>0.89259389259389255</v>
      </c>
      <c r="L2" s="19">
        <f t="shared" ref="L2:L47" si="2">IFERROR(360/K2,0)</f>
        <v>403.31891466771532</v>
      </c>
      <c r="M2" s="19">
        <v>25000</v>
      </c>
      <c r="N2" s="23">
        <f t="shared" ref="N2:N47" si="3">IFERROR(I2/M2,0)</f>
        <v>1.2410000000000001</v>
      </c>
      <c r="O2" s="23">
        <f t="shared" ref="O2:O47" si="4">N2/4</f>
        <v>0.31025000000000003</v>
      </c>
    </row>
    <row r="3" spans="1:15" x14ac:dyDescent="0.2">
      <c r="A3" s="8">
        <v>2</v>
      </c>
      <c r="B3" s="2">
        <v>973156840</v>
      </c>
      <c r="C3" s="2" t="s">
        <v>14</v>
      </c>
      <c r="D3" s="7">
        <v>45748</v>
      </c>
      <c r="E3" s="7">
        <v>45838</v>
      </c>
      <c r="F3" s="16">
        <f>'Q1-25'!I3</f>
        <v>13813</v>
      </c>
      <c r="G3" s="16">
        <v>264</v>
      </c>
      <c r="H3" s="16">
        <v>1987</v>
      </c>
      <c r="I3" s="16">
        <f t="shared" ref="I3:I47" si="5">F3+G3-H3</f>
        <v>12090</v>
      </c>
      <c r="J3" s="17">
        <f t="shared" si="0"/>
        <v>12951.5</v>
      </c>
      <c r="K3" s="24">
        <f t="shared" si="1"/>
        <v>0.15341852295100952</v>
      </c>
      <c r="L3" s="19">
        <f t="shared" si="2"/>
        <v>2346.5223955712131</v>
      </c>
      <c r="M3" s="19">
        <v>2000</v>
      </c>
      <c r="N3" s="23">
        <f t="shared" si="3"/>
        <v>6.0449999999999999</v>
      </c>
      <c r="O3" s="23">
        <f t="shared" si="4"/>
        <v>1.51125</v>
      </c>
    </row>
    <row r="4" spans="1:15" x14ac:dyDescent="0.2">
      <c r="A4" s="8">
        <v>3</v>
      </c>
      <c r="B4" s="2">
        <v>578931478</v>
      </c>
      <c r="C4" s="2" t="s">
        <v>15</v>
      </c>
      <c r="D4" s="7">
        <v>45748</v>
      </c>
      <c r="E4" s="7">
        <v>45838</v>
      </c>
      <c r="F4" s="16">
        <f>'Q1-25'!I4</f>
        <v>71480</v>
      </c>
      <c r="G4" s="16">
        <v>0</v>
      </c>
      <c r="H4" s="16">
        <v>521</v>
      </c>
      <c r="I4" s="16">
        <f t="shared" si="5"/>
        <v>70959</v>
      </c>
      <c r="J4" s="17">
        <f t="shared" si="0"/>
        <v>71219.5</v>
      </c>
      <c r="K4" s="24">
        <f t="shared" si="1"/>
        <v>7.3154122115431869E-3</v>
      </c>
      <c r="L4" s="19">
        <f t="shared" si="2"/>
        <v>49211.170825335896</v>
      </c>
      <c r="M4" s="19">
        <v>500</v>
      </c>
      <c r="N4" s="23">
        <f t="shared" si="3"/>
        <v>141.91800000000001</v>
      </c>
      <c r="O4" s="23">
        <f t="shared" si="4"/>
        <v>35.479500000000002</v>
      </c>
    </row>
    <row r="5" spans="1:15" x14ac:dyDescent="0.2">
      <c r="A5" s="8">
        <v>4</v>
      </c>
      <c r="B5" s="2">
        <v>976258743</v>
      </c>
      <c r="C5" s="2" t="s">
        <v>16</v>
      </c>
      <c r="D5" s="7">
        <v>45748</v>
      </c>
      <c r="E5" s="7">
        <v>45838</v>
      </c>
      <c r="F5" s="16">
        <f>'Q1-25'!I5</f>
        <v>4580</v>
      </c>
      <c r="G5" s="16">
        <v>29</v>
      </c>
      <c r="H5" s="16">
        <v>127</v>
      </c>
      <c r="I5" s="16">
        <f t="shared" si="5"/>
        <v>4482</v>
      </c>
      <c r="J5" s="17">
        <f t="shared" si="0"/>
        <v>4531</v>
      </c>
      <c r="K5" s="24">
        <f t="shared" si="1"/>
        <v>2.8029132641800927E-2</v>
      </c>
      <c r="L5" s="19">
        <f t="shared" si="2"/>
        <v>12843.779527559056</v>
      </c>
      <c r="M5" s="19">
        <v>100</v>
      </c>
      <c r="N5" s="23">
        <f t="shared" si="3"/>
        <v>44.82</v>
      </c>
      <c r="O5" s="23">
        <f t="shared" si="4"/>
        <v>11.205</v>
      </c>
    </row>
    <row r="6" spans="1:15" x14ac:dyDescent="0.2">
      <c r="A6" s="8">
        <v>5</v>
      </c>
      <c r="B6" s="2">
        <v>488369720</v>
      </c>
      <c r="C6" s="2" t="s">
        <v>17</v>
      </c>
      <c r="D6" s="7">
        <v>45748</v>
      </c>
      <c r="E6" s="7">
        <v>45838</v>
      </c>
      <c r="F6" s="16">
        <f>'Q1-25'!I6</f>
        <v>7837</v>
      </c>
      <c r="G6" s="16">
        <v>0</v>
      </c>
      <c r="H6" s="16">
        <v>500</v>
      </c>
      <c r="I6" s="16">
        <f t="shared" si="5"/>
        <v>7337</v>
      </c>
      <c r="J6" s="17">
        <f t="shared" si="0"/>
        <v>7587</v>
      </c>
      <c r="K6" s="24">
        <f t="shared" si="1"/>
        <v>6.5902201133517857E-2</v>
      </c>
      <c r="L6" s="19">
        <f t="shared" si="2"/>
        <v>5462.64</v>
      </c>
      <c r="M6" s="19">
        <v>500</v>
      </c>
      <c r="N6" s="23">
        <f t="shared" si="3"/>
        <v>14.673999999999999</v>
      </c>
      <c r="O6" s="23">
        <f t="shared" si="4"/>
        <v>3.6684999999999999</v>
      </c>
    </row>
    <row r="7" spans="1:15" x14ac:dyDescent="0.2">
      <c r="A7" s="8">
        <v>6</v>
      </c>
      <c r="B7" s="2">
        <v>658742031</v>
      </c>
      <c r="C7" s="2" t="s">
        <v>18</v>
      </c>
      <c r="D7" s="7">
        <v>45748</v>
      </c>
      <c r="E7" s="7">
        <v>45838</v>
      </c>
      <c r="F7" s="16">
        <f>'Q1-25'!I7</f>
        <v>1203</v>
      </c>
      <c r="G7" s="16">
        <v>0</v>
      </c>
      <c r="H7" s="16">
        <v>599</v>
      </c>
      <c r="I7" s="16">
        <f t="shared" si="5"/>
        <v>604</v>
      </c>
      <c r="J7" s="17">
        <f t="shared" si="0"/>
        <v>903.5</v>
      </c>
      <c r="K7" s="24">
        <f t="shared" si="1"/>
        <v>0.66297731045932484</v>
      </c>
      <c r="L7" s="19">
        <f t="shared" si="2"/>
        <v>543.00500834724539</v>
      </c>
      <c r="M7" s="19">
        <v>600</v>
      </c>
      <c r="N7" s="23">
        <f t="shared" si="3"/>
        <v>1.0066666666666666</v>
      </c>
      <c r="O7" s="23">
        <f t="shared" si="4"/>
        <v>0.25166666666666665</v>
      </c>
    </row>
    <row r="8" spans="1:15" x14ac:dyDescent="0.2">
      <c r="A8" s="8">
        <v>7</v>
      </c>
      <c r="B8" s="2">
        <v>698742368</v>
      </c>
      <c r="C8" s="2" t="s">
        <v>19</v>
      </c>
      <c r="D8" s="7">
        <v>45748</v>
      </c>
      <c r="E8" s="7">
        <v>45838</v>
      </c>
      <c r="F8" s="16">
        <f>'Q1-25'!I8</f>
        <v>1068</v>
      </c>
      <c r="G8" s="16">
        <v>600</v>
      </c>
      <c r="H8" s="16">
        <v>889</v>
      </c>
      <c r="I8" s="16">
        <f t="shared" si="5"/>
        <v>779</v>
      </c>
      <c r="J8" s="17">
        <f t="shared" si="0"/>
        <v>923.5</v>
      </c>
      <c r="K8" s="24">
        <f t="shared" si="1"/>
        <v>0.96264212236058477</v>
      </c>
      <c r="L8" s="19">
        <f t="shared" si="2"/>
        <v>373.97075365579303</v>
      </c>
      <c r="M8" s="19">
        <v>900</v>
      </c>
      <c r="N8" s="23">
        <f t="shared" si="3"/>
        <v>0.86555555555555552</v>
      </c>
      <c r="O8" s="23">
        <f t="shared" si="4"/>
        <v>0.21638888888888888</v>
      </c>
    </row>
    <row r="9" spans="1:15" x14ac:dyDescent="0.2">
      <c r="A9" s="8">
        <v>8</v>
      </c>
      <c r="B9" s="2">
        <v>752147896</v>
      </c>
      <c r="C9" s="2" t="s">
        <v>20</v>
      </c>
      <c r="D9" s="7">
        <v>45748</v>
      </c>
      <c r="E9" s="7">
        <v>45838</v>
      </c>
      <c r="F9" s="16">
        <f>'Q1-25'!I9</f>
        <v>3756</v>
      </c>
      <c r="G9" s="16">
        <v>0</v>
      </c>
      <c r="H9" s="16">
        <v>404</v>
      </c>
      <c r="I9" s="16">
        <f t="shared" si="5"/>
        <v>3352</v>
      </c>
      <c r="J9" s="17">
        <f t="shared" si="0"/>
        <v>3554</v>
      </c>
      <c r="K9" s="24">
        <f t="shared" si="1"/>
        <v>0.11367473269555431</v>
      </c>
      <c r="L9" s="19">
        <f t="shared" si="2"/>
        <v>3166.9306930693069</v>
      </c>
      <c r="M9" s="19">
        <v>400</v>
      </c>
      <c r="N9" s="23">
        <f t="shared" si="3"/>
        <v>8.3800000000000008</v>
      </c>
      <c r="O9" s="23">
        <f t="shared" si="4"/>
        <v>2.0950000000000002</v>
      </c>
    </row>
    <row r="10" spans="1:15" x14ac:dyDescent="0.2">
      <c r="A10" s="8">
        <v>9</v>
      </c>
      <c r="B10" s="2">
        <v>698753010</v>
      </c>
      <c r="C10" s="2" t="s">
        <v>21</v>
      </c>
      <c r="D10" s="7">
        <v>45748</v>
      </c>
      <c r="E10" s="7">
        <v>45838</v>
      </c>
      <c r="F10" s="16">
        <f>'Q1-25'!I10</f>
        <v>529</v>
      </c>
      <c r="G10" s="16">
        <v>252</v>
      </c>
      <c r="H10" s="16">
        <v>250</v>
      </c>
      <c r="I10" s="16">
        <f t="shared" si="5"/>
        <v>531</v>
      </c>
      <c r="J10" s="17">
        <f t="shared" si="0"/>
        <v>530</v>
      </c>
      <c r="K10" s="24">
        <f t="shared" si="1"/>
        <v>0.47169811320754718</v>
      </c>
      <c r="L10" s="19">
        <f t="shared" si="2"/>
        <v>763.2</v>
      </c>
      <c r="M10" s="19">
        <v>250</v>
      </c>
      <c r="N10" s="23">
        <f t="shared" si="3"/>
        <v>2.1240000000000001</v>
      </c>
      <c r="O10" s="23">
        <f t="shared" si="4"/>
        <v>0.53100000000000003</v>
      </c>
    </row>
    <row r="11" spans="1:15" x14ac:dyDescent="0.2">
      <c r="A11" s="8">
        <v>10</v>
      </c>
      <c r="B11" s="2">
        <v>973156840</v>
      </c>
      <c r="C11" s="2" t="s">
        <v>14</v>
      </c>
      <c r="D11" s="7">
        <v>45748</v>
      </c>
      <c r="E11" s="7">
        <v>45838</v>
      </c>
      <c r="F11" s="16">
        <f>'Q1-25'!I11</f>
        <v>633</v>
      </c>
      <c r="G11" s="16">
        <v>360</v>
      </c>
      <c r="H11" s="16">
        <v>354</v>
      </c>
      <c r="I11" s="16">
        <f t="shared" si="5"/>
        <v>639</v>
      </c>
      <c r="J11" s="17">
        <f t="shared" si="0"/>
        <v>636</v>
      </c>
      <c r="K11" s="24">
        <f t="shared" si="1"/>
        <v>0.55660377358490565</v>
      </c>
      <c r="L11" s="19">
        <f t="shared" si="2"/>
        <v>646.77966101694915</v>
      </c>
      <c r="M11" s="19">
        <v>350</v>
      </c>
      <c r="N11" s="23">
        <f t="shared" si="3"/>
        <v>1.8257142857142856</v>
      </c>
      <c r="O11" s="23">
        <f t="shared" si="4"/>
        <v>0.45642857142857141</v>
      </c>
    </row>
    <row r="12" spans="1:15" x14ac:dyDescent="0.2">
      <c r="A12" s="8">
        <v>11</v>
      </c>
      <c r="B12" s="2">
        <v>259874130</v>
      </c>
      <c r="C12" s="2" t="s">
        <v>22</v>
      </c>
      <c r="D12" s="7">
        <v>45748</v>
      </c>
      <c r="E12" s="7">
        <v>45838</v>
      </c>
      <c r="F12" s="16">
        <f>'Q1-25'!I12</f>
        <v>2631</v>
      </c>
      <c r="G12" s="16">
        <v>1125</v>
      </c>
      <c r="H12" s="16">
        <v>999</v>
      </c>
      <c r="I12" s="16">
        <f t="shared" si="5"/>
        <v>2757</v>
      </c>
      <c r="J12" s="17">
        <f t="shared" si="0"/>
        <v>2694</v>
      </c>
      <c r="K12" s="24">
        <f t="shared" si="1"/>
        <v>0.37082405345211583</v>
      </c>
      <c r="L12" s="19">
        <f t="shared" si="2"/>
        <v>970.81081081081072</v>
      </c>
      <c r="M12" s="19">
        <v>1000</v>
      </c>
      <c r="N12" s="23">
        <f t="shared" si="3"/>
        <v>2.7570000000000001</v>
      </c>
      <c r="O12" s="23">
        <f t="shared" si="4"/>
        <v>0.68925000000000003</v>
      </c>
    </row>
    <row r="13" spans="1:15" x14ac:dyDescent="0.2">
      <c r="A13" s="8">
        <v>12</v>
      </c>
      <c r="B13" s="2">
        <v>752147896</v>
      </c>
      <c r="C13" s="2" t="s">
        <v>20</v>
      </c>
      <c r="D13" s="7">
        <v>45748</v>
      </c>
      <c r="E13" s="7">
        <v>45838</v>
      </c>
      <c r="F13" s="16">
        <f>'Q1-25'!I13</f>
        <v>966</v>
      </c>
      <c r="G13" s="16">
        <v>195</v>
      </c>
      <c r="H13" s="16">
        <v>197</v>
      </c>
      <c r="I13" s="16">
        <f t="shared" si="5"/>
        <v>964</v>
      </c>
      <c r="J13" s="17">
        <f t="shared" si="0"/>
        <v>965</v>
      </c>
      <c r="K13" s="24">
        <f t="shared" si="1"/>
        <v>0.20414507772020726</v>
      </c>
      <c r="L13" s="19">
        <f t="shared" si="2"/>
        <v>1763.4517766497461</v>
      </c>
      <c r="M13" s="19">
        <v>200</v>
      </c>
      <c r="N13" s="23">
        <f t="shared" si="3"/>
        <v>4.82</v>
      </c>
      <c r="O13" s="23">
        <f t="shared" si="4"/>
        <v>1.2050000000000001</v>
      </c>
    </row>
    <row r="14" spans="1:15" x14ac:dyDescent="0.2">
      <c r="A14" s="8">
        <v>13</v>
      </c>
      <c r="B14" s="2">
        <v>987453210</v>
      </c>
      <c r="C14" s="2" t="s">
        <v>23</v>
      </c>
      <c r="D14" s="7">
        <v>45748</v>
      </c>
      <c r="E14" s="7">
        <v>45838</v>
      </c>
      <c r="F14" s="16">
        <f>'Q1-25'!I14</f>
        <v>307</v>
      </c>
      <c r="G14" s="16">
        <v>743</v>
      </c>
      <c r="H14" s="16">
        <v>227</v>
      </c>
      <c r="I14" s="16">
        <f t="shared" si="5"/>
        <v>823</v>
      </c>
      <c r="J14" s="17">
        <f t="shared" si="0"/>
        <v>565</v>
      </c>
      <c r="K14" s="24">
        <f t="shared" si="1"/>
        <v>0.40176991150442476</v>
      </c>
      <c r="L14" s="19">
        <f t="shared" si="2"/>
        <v>896.0352422907489</v>
      </c>
      <c r="M14" s="19">
        <v>225</v>
      </c>
      <c r="N14" s="23">
        <f t="shared" si="3"/>
        <v>3.6577777777777776</v>
      </c>
      <c r="O14" s="23">
        <f t="shared" si="4"/>
        <v>0.91444444444444439</v>
      </c>
    </row>
    <row r="15" spans="1:15" x14ac:dyDescent="0.2">
      <c r="A15" s="8">
        <v>14</v>
      </c>
      <c r="B15" s="2">
        <v>789650214</v>
      </c>
      <c r="C15" s="2" t="s">
        <v>24</v>
      </c>
      <c r="D15" s="7">
        <v>45748</v>
      </c>
      <c r="E15" s="7">
        <v>45838</v>
      </c>
      <c r="F15" s="16">
        <f>'Q1-25'!I15</f>
        <v>1110</v>
      </c>
      <c r="G15" s="16">
        <v>39</v>
      </c>
      <c r="H15" s="16">
        <v>130</v>
      </c>
      <c r="I15" s="16">
        <f t="shared" si="5"/>
        <v>1019</v>
      </c>
      <c r="J15" s="17">
        <f t="shared" si="0"/>
        <v>1064.5</v>
      </c>
      <c r="K15" s="24">
        <f t="shared" si="1"/>
        <v>0.1221230624706435</v>
      </c>
      <c r="L15" s="19">
        <f t="shared" si="2"/>
        <v>2947.8461538461538</v>
      </c>
      <c r="M15" s="19">
        <v>124</v>
      </c>
      <c r="N15" s="23">
        <f t="shared" si="3"/>
        <v>8.2177419354838701</v>
      </c>
      <c r="O15" s="23">
        <f t="shared" si="4"/>
        <v>2.0544354838709675</v>
      </c>
    </row>
    <row r="16" spans="1:15" x14ac:dyDescent="0.2">
      <c r="A16" s="8">
        <v>15</v>
      </c>
      <c r="B16" s="2">
        <v>147896576</v>
      </c>
      <c r="C16" s="2" t="s">
        <v>25</v>
      </c>
      <c r="D16" s="7">
        <v>45748</v>
      </c>
      <c r="E16" s="7">
        <v>45838</v>
      </c>
      <c r="F16" s="16">
        <f>'Q1-25'!I16</f>
        <v>17651</v>
      </c>
      <c r="G16" s="16">
        <v>150</v>
      </c>
      <c r="H16" s="16">
        <v>821</v>
      </c>
      <c r="I16" s="16">
        <f t="shared" si="5"/>
        <v>16980</v>
      </c>
      <c r="J16" s="17">
        <f t="shared" si="0"/>
        <v>17315.5</v>
      </c>
      <c r="K16" s="24">
        <f t="shared" si="1"/>
        <v>4.7414166498224136E-2</v>
      </c>
      <c r="L16" s="19">
        <f t="shared" si="2"/>
        <v>7592.6674786845306</v>
      </c>
      <c r="M16" s="19">
        <v>780</v>
      </c>
      <c r="N16" s="23">
        <f t="shared" si="3"/>
        <v>21.76923076923077</v>
      </c>
      <c r="O16" s="23">
        <f t="shared" si="4"/>
        <v>5.4423076923076925</v>
      </c>
    </row>
    <row r="17" spans="1:15" x14ac:dyDescent="0.2">
      <c r="A17" s="8">
        <v>16</v>
      </c>
      <c r="B17" s="2">
        <v>217856258</v>
      </c>
      <c r="C17" s="2" t="s">
        <v>26</v>
      </c>
      <c r="D17" s="7">
        <v>45748</v>
      </c>
      <c r="E17" s="7">
        <v>45838</v>
      </c>
      <c r="F17" s="16">
        <f>'Q1-25'!I17</f>
        <v>7607</v>
      </c>
      <c r="G17" s="16">
        <v>2893</v>
      </c>
      <c r="H17" s="16">
        <v>8497</v>
      </c>
      <c r="I17" s="16">
        <f t="shared" si="5"/>
        <v>2003</v>
      </c>
      <c r="J17" s="17">
        <f t="shared" si="0"/>
        <v>4805</v>
      </c>
      <c r="K17" s="24">
        <f t="shared" si="1"/>
        <v>1.7683662851196671</v>
      </c>
      <c r="L17" s="19">
        <f t="shared" si="2"/>
        <v>203.5777333176415</v>
      </c>
      <c r="M17" s="19">
        <v>8500</v>
      </c>
      <c r="N17" s="23">
        <f t="shared" si="3"/>
        <v>0.2356470588235294</v>
      </c>
      <c r="O17" s="23">
        <f t="shared" si="4"/>
        <v>5.8911764705882351E-2</v>
      </c>
    </row>
    <row r="18" spans="1:15" x14ac:dyDescent="0.2">
      <c r="A18" s="8">
        <v>17</v>
      </c>
      <c r="B18" s="2">
        <v>586971430</v>
      </c>
      <c r="C18" s="2" t="s">
        <v>27</v>
      </c>
      <c r="D18" s="7">
        <v>45748</v>
      </c>
      <c r="E18" s="7">
        <v>45838</v>
      </c>
      <c r="F18" s="16">
        <f>'Q1-25'!I18</f>
        <v>1592</v>
      </c>
      <c r="G18" s="16">
        <v>54</v>
      </c>
      <c r="H18" s="16">
        <v>250</v>
      </c>
      <c r="I18" s="16">
        <f t="shared" si="5"/>
        <v>1396</v>
      </c>
      <c r="J18" s="17">
        <f t="shared" si="0"/>
        <v>1494</v>
      </c>
      <c r="K18" s="24">
        <f t="shared" si="1"/>
        <v>0.16733601070950468</v>
      </c>
      <c r="L18" s="19">
        <f t="shared" si="2"/>
        <v>2151.36</v>
      </c>
      <c r="M18" s="19">
        <v>250</v>
      </c>
      <c r="N18" s="23">
        <f t="shared" si="3"/>
        <v>5.5839999999999996</v>
      </c>
      <c r="O18" s="23">
        <f t="shared" si="4"/>
        <v>1.3959999999999999</v>
      </c>
    </row>
    <row r="19" spans="1:15" x14ac:dyDescent="0.2">
      <c r="A19" s="8">
        <v>18</v>
      </c>
      <c r="B19" s="2">
        <v>201468734</v>
      </c>
      <c r="C19" s="2" t="s">
        <v>28</v>
      </c>
      <c r="D19" s="7">
        <v>45748</v>
      </c>
      <c r="E19" s="7">
        <v>45838</v>
      </c>
      <c r="F19" s="16">
        <f>'Q1-25'!I19</f>
        <v>1490</v>
      </c>
      <c r="G19" s="16">
        <v>7</v>
      </c>
      <c r="H19" s="16">
        <v>355</v>
      </c>
      <c r="I19" s="16">
        <f t="shared" si="5"/>
        <v>1142</v>
      </c>
      <c r="J19" s="17">
        <f t="shared" si="0"/>
        <v>1316</v>
      </c>
      <c r="K19" s="24">
        <f t="shared" si="1"/>
        <v>0.26975683890577506</v>
      </c>
      <c r="L19" s="19">
        <f t="shared" si="2"/>
        <v>1334.5352112676057</v>
      </c>
      <c r="M19" s="19">
        <v>361.79999999999995</v>
      </c>
      <c r="N19" s="23">
        <f t="shared" si="3"/>
        <v>3.1564400221116644</v>
      </c>
      <c r="O19" s="23">
        <f t="shared" si="4"/>
        <v>0.7891100055279161</v>
      </c>
    </row>
    <row r="20" spans="1:15" x14ac:dyDescent="0.2">
      <c r="A20" s="8">
        <v>19</v>
      </c>
      <c r="B20" s="2">
        <v>698753010</v>
      </c>
      <c r="C20" s="2" t="s">
        <v>21</v>
      </c>
      <c r="D20" s="7">
        <v>45748</v>
      </c>
      <c r="E20" s="7">
        <v>45838</v>
      </c>
      <c r="F20" s="16">
        <f>'Q1-25'!I20</f>
        <v>6577</v>
      </c>
      <c r="G20" s="16">
        <v>3</v>
      </c>
      <c r="H20" s="16">
        <v>360</v>
      </c>
      <c r="I20" s="16">
        <f t="shared" si="5"/>
        <v>6220</v>
      </c>
      <c r="J20" s="17">
        <f t="shared" si="0"/>
        <v>6398.5</v>
      </c>
      <c r="K20" s="24">
        <f t="shared" si="1"/>
        <v>5.626318668437915E-2</v>
      </c>
      <c r="L20" s="19">
        <f t="shared" si="2"/>
        <v>6398.5</v>
      </c>
      <c r="M20" s="19">
        <v>346.20000000000005</v>
      </c>
      <c r="N20" s="23">
        <f t="shared" si="3"/>
        <v>17.966493356441362</v>
      </c>
      <c r="O20" s="23">
        <f t="shared" si="4"/>
        <v>4.4916233391103404</v>
      </c>
    </row>
    <row r="21" spans="1:15" x14ac:dyDescent="0.2">
      <c r="A21" s="8">
        <v>20</v>
      </c>
      <c r="B21" s="2">
        <v>697521001</v>
      </c>
      <c r="C21" s="2" t="s">
        <v>29</v>
      </c>
      <c r="D21" s="7">
        <v>45748</v>
      </c>
      <c r="E21" s="7">
        <v>45838</v>
      </c>
      <c r="F21" s="16">
        <f>'Q1-25'!I21</f>
        <v>1656</v>
      </c>
      <c r="G21" s="16">
        <v>157</v>
      </c>
      <c r="H21" s="16">
        <v>351</v>
      </c>
      <c r="I21" s="16">
        <f t="shared" si="5"/>
        <v>1462</v>
      </c>
      <c r="J21" s="17">
        <f t="shared" si="0"/>
        <v>1559</v>
      </c>
      <c r="K21" s="24">
        <f t="shared" si="1"/>
        <v>0.22514432328415651</v>
      </c>
      <c r="L21" s="19">
        <f t="shared" si="2"/>
        <v>1598.9743589743589</v>
      </c>
      <c r="M21" s="19">
        <v>345.6</v>
      </c>
      <c r="N21" s="23">
        <f t="shared" si="3"/>
        <v>4.2303240740740735</v>
      </c>
      <c r="O21" s="23">
        <f t="shared" si="4"/>
        <v>1.0575810185185184</v>
      </c>
    </row>
    <row r="22" spans="1:15" x14ac:dyDescent="0.2">
      <c r="A22" s="8">
        <v>21</v>
      </c>
      <c r="B22" s="2">
        <v>403587047</v>
      </c>
      <c r="C22" s="2" t="s">
        <v>30</v>
      </c>
      <c r="D22" s="7">
        <v>45748</v>
      </c>
      <c r="E22" s="7">
        <v>45838</v>
      </c>
      <c r="F22" s="16">
        <f>'Q1-25'!I22</f>
        <v>9137</v>
      </c>
      <c r="G22" s="16">
        <v>27</v>
      </c>
      <c r="H22" s="16">
        <v>330</v>
      </c>
      <c r="I22" s="16">
        <f t="shared" si="5"/>
        <v>8834</v>
      </c>
      <c r="J22" s="17">
        <f t="shared" si="0"/>
        <v>8985.5</v>
      </c>
      <c r="K22" s="24">
        <f t="shared" si="1"/>
        <v>3.6725836069222639E-2</v>
      </c>
      <c r="L22" s="19">
        <f t="shared" si="2"/>
        <v>9802.363636363636</v>
      </c>
      <c r="M22" s="19">
        <v>330</v>
      </c>
      <c r="N22" s="23">
        <f t="shared" si="3"/>
        <v>26.76969696969697</v>
      </c>
      <c r="O22" s="23">
        <f t="shared" si="4"/>
        <v>6.6924242424242424</v>
      </c>
    </row>
    <row r="23" spans="1:15" x14ac:dyDescent="0.2">
      <c r="A23" s="8">
        <v>22</v>
      </c>
      <c r="B23" s="2">
        <v>250360478</v>
      </c>
      <c r="C23" s="2" t="s">
        <v>31</v>
      </c>
      <c r="D23" s="7">
        <v>45748</v>
      </c>
      <c r="E23" s="7">
        <v>45838</v>
      </c>
      <c r="F23" s="16">
        <f>'Q1-25'!I23</f>
        <v>2826</v>
      </c>
      <c r="G23" s="16">
        <v>0</v>
      </c>
      <c r="H23" s="16">
        <v>325</v>
      </c>
      <c r="I23" s="16">
        <f t="shared" si="5"/>
        <v>2501</v>
      </c>
      <c r="J23" s="17">
        <f t="shared" si="0"/>
        <v>2663.5</v>
      </c>
      <c r="K23" s="24">
        <f t="shared" si="1"/>
        <v>0.12201989862962268</v>
      </c>
      <c r="L23" s="19">
        <f t="shared" si="2"/>
        <v>2950.3384615384616</v>
      </c>
      <c r="M23" s="19">
        <v>324</v>
      </c>
      <c r="N23" s="23">
        <f t="shared" si="3"/>
        <v>7.7191358024691361</v>
      </c>
      <c r="O23" s="23">
        <f t="shared" si="4"/>
        <v>1.929783950617284</v>
      </c>
    </row>
    <row r="24" spans="1:15" x14ac:dyDescent="0.2">
      <c r="A24" s="8">
        <v>23</v>
      </c>
      <c r="B24" s="2">
        <v>369712587</v>
      </c>
      <c r="C24" s="2" t="s">
        <v>32</v>
      </c>
      <c r="D24" s="7">
        <v>45748</v>
      </c>
      <c r="E24" s="7">
        <v>45838</v>
      </c>
      <c r="F24" s="16">
        <f>'Q1-25'!I24</f>
        <v>1443</v>
      </c>
      <c r="G24" s="16">
        <v>1</v>
      </c>
      <c r="H24" s="16">
        <v>239</v>
      </c>
      <c r="I24" s="16">
        <f t="shared" si="5"/>
        <v>1205</v>
      </c>
      <c r="J24" s="17">
        <f t="shared" si="0"/>
        <v>1324</v>
      </c>
      <c r="K24" s="24">
        <f t="shared" si="1"/>
        <v>0.18051359516616314</v>
      </c>
      <c r="L24" s="19">
        <f t="shared" si="2"/>
        <v>1994.3096234309623</v>
      </c>
      <c r="M24" s="19">
        <v>240</v>
      </c>
      <c r="N24" s="23">
        <f t="shared" si="3"/>
        <v>5.020833333333333</v>
      </c>
      <c r="O24" s="23">
        <f t="shared" si="4"/>
        <v>1.2552083333333333</v>
      </c>
    </row>
    <row r="25" spans="1:15" x14ac:dyDescent="0.2">
      <c r="A25" s="8">
        <v>24</v>
      </c>
      <c r="B25" s="2">
        <v>236547852</v>
      </c>
      <c r="C25" s="2" t="s">
        <v>33</v>
      </c>
      <c r="D25" s="7">
        <v>45748</v>
      </c>
      <c r="E25" s="7">
        <v>45838</v>
      </c>
      <c r="F25" s="16">
        <f>'Q1-25'!I25</f>
        <v>845</v>
      </c>
      <c r="G25" s="16">
        <v>210</v>
      </c>
      <c r="H25" s="16">
        <v>268</v>
      </c>
      <c r="I25" s="16">
        <f t="shared" si="5"/>
        <v>787</v>
      </c>
      <c r="J25" s="17">
        <f t="shared" si="0"/>
        <v>816</v>
      </c>
      <c r="K25" s="24">
        <f t="shared" si="1"/>
        <v>0.32843137254901961</v>
      </c>
      <c r="L25" s="19">
        <f t="shared" si="2"/>
        <v>1096.1194029850747</v>
      </c>
      <c r="M25" s="19">
        <v>270</v>
      </c>
      <c r="N25" s="23">
        <f t="shared" si="3"/>
        <v>2.914814814814815</v>
      </c>
      <c r="O25" s="23">
        <f t="shared" si="4"/>
        <v>0.72870370370370374</v>
      </c>
    </row>
    <row r="26" spans="1:15" x14ac:dyDescent="0.2">
      <c r="A26" s="8">
        <v>25</v>
      </c>
      <c r="B26" s="2">
        <v>258963214</v>
      </c>
      <c r="C26" s="2" t="s">
        <v>34</v>
      </c>
      <c r="D26" s="7">
        <v>45748</v>
      </c>
      <c r="E26" s="7">
        <v>45838</v>
      </c>
      <c r="F26" s="16">
        <f>'Q1-25'!I26</f>
        <v>434</v>
      </c>
      <c r="G26" s="16">
        <v>200</v>
      </c>
      <c r="H26" s="16">
        <v>250</v>
      </c>
      <c r="I26" s="16">
        <f t="shared" si="5"/>
        <v>384</v>
      </c>
      <c r="J26" s="17">
        <f t="shared" si="0"/>
        <v>409</v>
      </c>
      <c r="K26" s="24">
        <f t="shared" si="1"/>
        <v>0.61124694376528121</v>
      </c>
      <c r="L26" s="19">
        <f t="shared" si="2"/>
        <v>588.95999999999992</v>
      </c>
      <c r="M26" s="19">
        <v>230</v>
      </c>
      <c r="N26" s="23">
        <f t="shared" si="3"/>
        <v>1.6695652173913043</v>
      </c>
      <c r="O26" s="23">
        <f t="shared" si="4"/>
        <v>0.41739130434782606</v>
      </c>
    </row>
    <row r="27" spans="1:15" x14ac:dyDescent="0.2">
      <c r="A27" s="8">
        <v>26</v>
      </c>
      <c r="B27" s="2">
        <v>578931478</v>
      </c>
      <c r="C27" s="2" t="s">
        <v>15</v>
      </c>
      <c r="D27" s="7">
        <v>45748</v>
      </c>
      <c r="E27" s="7">
        <v>45838</v>
      </c>
      <c r="F27" s="16">
        <f>'Q1-25'!I27</f>
        <v>397</v>
      </c>
      <c r="G27" s="16">
        <v>807</v>
      </c>
      <c r="H27" s="16">
        <v>258</v>
      </c>
      <c r="I27" s="16">
        <f t="shared" si="5"/>
        <v>946</v>
      </c>
      <c r="J27" s="17">
        <f t="shared" si="0"/>
        <v>671.5</v>
      </c>
      <c r="K27" s="24">
        <f t="shared" si="1"/>
        <v>0.38421444527177961</v>
      </c>
      <c r="L27" s="19">
        <f t="shared" si="2"/>
        <v>936.97674418604652</v>
      </c>
      <c r="M27" s="19">
        <v>250</v>
      </c>
      <c r="N27" s="23">
        <f t="shared" si="3"/>
        <v>3.7839999999999998</v>
      </c>
      <c r="O27" s="23">
        <f t="shared" si="4"/>
        <v>0.94599999999999995</v>
      </c>
    </row>
    <row r="28" spans="1:15" x14ac:dyDescent="0.2">
      <c r="A28" s="8">
        <v>27</v>
      </c>
      <c r="B28" s="2">
        <v>217856258</v>
      </c>
      <c r="C28" s="2" t="s">
        <v>26</v>
      </c>
      <c r="D28" s="7">
        <v>45748</v>
      </c>
      <c r="E28" s="7">
        <v>45838</v>
      </c>
      <c r="F28" s="16">
        <f>'Q1-25'!I28</f>
        <v>1691</v>
      </c>
      <c r="G28" s="16">
        <v>905</v>
      </c>
      <c r="H28" s="16">
        <v>789</v>
      </c>
      <c r="I28" s="16">
        <f t="shared" si="5"/>
        <v>1807</v>
      </c>
      <c r="J28" s="17">
        <f t="shared" si="0"/>
        <v>1749</v>
      </c>
      <c r="K28" s="24">
        <f t="shared" si="1"/>
        <v>0.451114922813036</v>
      </c>
      <c r="L28" s="19">
        <f t="shared" si="2"/>
        <v>798.02281368821298</v>
      </c>
      <c r="M28" s="19">
        <v>800</v>
      </c>
      <c r="N28" s="23">
        <f t="shared" si="3"/>
        <v>2.25875</v>
      </c>
      <c r="O28" s="23">
        <f t="shared" si="4"/>
        <v>0.56468750000000001</v>
      </c>
    </row>
    <row r="29" spans="1:15" x14ac:dyDescent="0.2">
      <c r="A29" s="8">
        <v>28</v>
      </c>
      <c r="B29" s="2">
        <v>369874522</v>
      </c>
      <c r="C29" s="2" t="s">
        <v>35</v>
      </c>
      <c r="D29" s="7">
        <v>45748</v>
      </c>
      <c r="E29" s="7">
        <v>45838</v>
      </c>
      <c r="F29" s="16">
        <f>'Q1-25'!I29</f>
        <v>674</v>
      </c>
      <c r="G29" s="16">
        <v>140</v>
      </c>
      <c r="H29" s="16">
        <v>109</v>
      </c>
      <c r="I29" s="16">
        <f t="shared" si="5"/>
        <v>705</v>
      </c>
      <c r="J29" s="17">
        <f t="shared" si="0"/>
        <v>689.5</v>
      </c>
      <c r="K29" s="24">
        <f t="shared" si="1"/>
        <v>0.15808556925308195</v>
      </c>
      <c r="L29" s="19">
        <f t="shared" si="2"/>
        <v>2277.2477064220184</v>
      </c>
      <c r="M29" s="19">
        <v>160</v>
      </c>
      <c r="N29" s="23">
        <f t="shared" si="3"/>
        <v>4.40625</v>
      </c>
      <c r="O29" s="23">
        <f t="shared" si="4"/>
        <v>1.1015625</v>
      </c>
    </row>
    <row r="30" spans="1:15" x14ac:dyDescent="0.2">
      <c r="A30" s="8">
        <v>29</v>
      </c>
      <c r="B30" s="2">
        <v>329865147</v>
      </c>
      <c r="C30" s="2" t="s">
        <v>36</v>
      </c>
      <c r="D30" s="7">
        <v>45748</v>
      </c>
      <c r="E30" s="7">
        <v>45838</v>
      </c>
      <c r="F30" s="16">
        <f>'Q1-25'!I30</f>
        <v>757</v>
      </c>
      <c r="G30" s="16">
        <v>809</v>
      </c>
      <c r="H30" s="16">
        <v>761</v>
      </c>
      <c r="I30" s="16">
        <f t="shared" si="5"/>
        <v>805</v>
      </c>
      <c r="J30" s="17">
        <f t="shared" si="0"/>
        <v>781</v>
      </c>
      <c r="K30" s="24">
        <f t="shared" si="1"/>
        <v>0.97439180537772085</v>
      </c>
      <c r="L30" s="19">
        <f t="shared" si="2"/>
        <v>369.46123521682</v>
      </c>
      <c r="M30" s="19">
        <v>740</v>
      </c>
      <c r="N30" s="23">
        <f t="shared" si="3"/>
        <v>1.0878378378378379</v>
      </c>
      <c r="O30" s="23">
        <f t="shared" si="4"/>
        <v>0.27195945945945948</v>
      </c>
    </row>
    <row r="31" spans="1:15" x14ac:dyDescent="0.2">
      <c r="A31" s="8">
        <v>30</v>
      </c>
      <c r="B31" s="2">
        <v>659832741</v>
      </c>
      <c r="C31" s="2" t="s">
        <v>37</v>
      </c>
      <c r="D31" s="7">
        <v>45748</v>
      </c>
      <c r="E31" s="7">
        <v>45838</v>
      </c>
      <c r="F31" s="16">
        <f>'Q1-25'!I31</f>
        <v>815</v>
      </c>
      <c r="G31" s="16">
        <v>690</v>
      </c>
      <c r="H31" s="16">
        <v>557</v>
      </c>
      <c r="I31" s="16">
        <f t="shared" si="5"/>
        <v>948</v>
      </c>
      <c r="J31" s="17">
        <f t="shared" si="0"/>
        <v>881.5</v>
      </c>
      <c r="K31" s="24">
        <f t="shared" si="1"/>
        <v>0.63187748156551338</v>
      </c>
      <c r="L31" s="19">
        <f t="shared" si="2"/>
        <v>569.73070017953319</v>
      </c>
      <c r="M31" s="19">
        <v>560</v>
      </c>
      <c r="N31" s="23">
        <f t="shared" si="3"/>
        <v>1.6928571428571428</v>
      </c>
      <c r="O31" s="23">
        <f t="shared" si="4"/>
        <v>0.42321428571428571</v>
      </c>
    </row>
    <row r="32" spans="1:15" x14ac:dyDescent="0.2">
      <c r="A32" s="8">
        <v>31</v>
      </c>
      <c r="B32" s="2">
        <v>201478963</v>
      </c>
      <c r="C32" s="2" t="s">
        <v>38</v>
      </c>
      <c r="D32" s="7">
        <v>45748</v>
      </c>
      <c r="E32" s="7">
        <v>45838</v>
      </c>
      <c r="F32" s="16">
        <f>'Q1-25'!I32</f>
        <v>750</v>
      </c>
      <c r="G32" s="16">
        <v>375</v>
      </c>
      <c r="H32" s="16">
        <v>443</v>
      </c>
      <c r="I32" s="16">
        <f t="shared" si="5"/>
        <v>682</v>
      </c>
      <c r="J32" s="17">
        <f t="shared" si="0"/>
        <v>716</v>
      </c>
      <c r="K32" s="24">
        <f t="shared" si="1"/>
        <v>0.61871508379888274</v>
      </c>
      <c r="L32" s="19">
        <f t="shared" si="2"/>
        <v>581.85101580135438</v>
      </c>
      <c r="M32" s="19">
        <v>430</v>
      </c>
      <c r="N32" s="23">
        <f t="shared" si="3"/>
        <v>1.586046511627907</v>
      </c>
      <c r="O32" s="23">
        <f t="shared" si="4"/>
        <v>0.39651162790697675</v>
      </c>
    </row>
    <row r="33" spans="1:15" x14ac:dyDescent="0.2">
      <c r="A33" s="8">
        <v>32</v>
      </c>
      <c r="B33" s="2">
        <v>369874125</v>
      </c>
      <c r="C33" s="2" t="s">
        <v>39</v>
      </c>
      <c r="D33" s="7">
        <v>45748</v>
      </c>
      <c r="E33" s="7">
        <v>45838</v>
      </c>
      <c r="F33" s="16">
        <f>'Q1-25'!I33</f>
        <v>557</v>
      </c>
      <c r="G33" s="16">
        <v>350</v>
      </c>
      <c r="H33" s="16">
        <v>337</v>
      </c>
      <c r="I33" s="16">
        <f t="shared" si="5"/>
        <v>570</v>
      </c>
      <c r="J33" s="17">
        <f t="shared" si="0"/>
        <v>563.5</v>
      </c>
      <c r="K33" s="24">
        <f t="shared" si="1"/>
        <v>0.59804791481810116</v>
      </c>
      <c r="L33" s="19">
        <f t="shared" si="2"/>
        <v>601.95845697329378</v>
      </c>
      <c r="M33" s="19">
        <v>330</v>
      </c>
      <c r="N33" s="23">
        <f t="shared" si="3"/>
        <v>1.7272727272727273</v>
      </c>
      <c r="O33" s="23">
        <f t="shared" si="4"/>
        <v>0.43181818181818182</v>
      </c>
    </row>
    <row r="34" spans="1:15" x14ac:dyDescent="0.2">
      <c r="A34" s="8">
        <v>33</v>
      </c>
      <c r="B34" s="2">
        <v>698753010</v>
      </c>
      <c r="C34" s="2" t="s">
        <v>21</v>
      </c>
      <c r="D34" s="7">
        <v>45748</v>
      </c>
      <c r="E34" s="7">
        <v>45838</v>
      </c>
      <c r="F34" s="16">
        <f>'Q1-25'!I34</f>
        <v>1235</v>
      </c>
      <c r="G34" s="16">
        <v>470</v>
      </c>
      <c r="H34" s="16">
        <v>426</v>
      </c>
      <c r="I34" s="16">
        <f t="shared" si="5"/>
        <v>1279</v>
      </c>
      <c r="J34" s="17">
        <f t="shared" si="0"/>
        <v>1257</v>
      </c>
      <c r="K34" s="24">
        <f t="shared" si="1"/>
        <v>0.33890214797136037</v>
      </c>
      <c r="L34" s="19">
        <f t="shared" si="2"/>
        <v>1062.2535211267607</v>
      </c>
      <c r="M34" s="19">
        <v>425</v>
      </c>
      <c r="N34" s="23">
        <f t="shared" si="3"/>
        <v>3.0094117647058822</v>
      </c>
      <c r="O34" s="23">
        <f t="shared" si="4"/>
        <v>0.75235294117647056</v>
      </c>
    </row>
    <row r="35" spans="1:15" x14ac:dyDescent="0.2">
      <c r="A35" s="8">
        <v>34</v>
      </c>
      <c r="B35" s="2">
        <v>794613528</v>
      </c>
      <c r="C35" s="2" t="s">
        <v>40</v>
      </c>
      <c r="D35" s="7">
        <v>45748</v>
      </c>
      <c r="E35" s="7">
        <v>45838</v>
      </c>
      <c r="F35" s="16">
        <f>'Q1-25'!I35</f>
        <v>402</v>
      </c>
      <c r="G35" s="16">
        <v>64</v>
      </c>
      <c r="H35" s="16">
        <v>120</v>
      </c>
      <c r="I35" s="16">
        <f t="shared" si="5"/>
        <v>346</v>
      </c>
      <c r="J35" s="17">
        <f t="shared" si="0"/>
        <v>374</v>
      </c>
      <c r="K35" s="24">
        <f t="shared" si="1"/>
        <v>0.32085561497326204</v>
      </c>
      <c r="L35" s="19">
        <f t="shared" si="2"/>
        <v>1122</v>
      </c>
      <c r="M35" s="19">
        <v>120</v>
      </c>
      <c r="N35" s="23">
        <f t="shared" si="3"/>
        <v>2.8833333333333333</v>
      </c>
      <c r="O35" s="23">
        <f t="shared" si="4"/>
        <v>0.72083333333333333</v>
      </c>
    </row>
    <row r="36" spans="1:15" x14ac:dyDescent="0.2">
      <c r="A36" s="8">
        <v>35</v>
      </c>
      <c r="B36" s="2">
        <v>286314820</v>
      </c>
      <c r="C36" s="2" t="s">
        <v>41</v>
      </c>
      <c r="D36" s="7">
        <v>45748</v>
      </c>
      <c r="E36" s="7">
        <v>45838</v>
      </c>
      <c r="F36" s="16">
        <f>'Q1-25'!I36</f>
        <v>647</v>
      </c>
      <c r="G36" s="16">
        <v>150</v>
      </c>
      <c r="H36" s="16">
        <v>97</v>
      </c>
      <c r="I36" s="16">
        <f t="shared" si="5"/>
        <v>700</v>
      </c>
      <c r="J36" s="17">
        <f t="shared" si="0"/>
        <v>673.5</v>
      </c>
      <c r="K36" s="24">
        <f t="shared" si="1"/>
        <v>0.14402375649591687</v>
      </c>
      <c r="L36" s="19">
        <f t="shared" si="2"/>
        <v>2499.5876288659792</v>
      </c>
      <c r="M36" s="19">
        <v>100</v>
      </c>
      <c r="N36" s="23">
        <f t="shared" si="3"/>
        <v>7</v>
      </c>
      <c r="O36" s="23">
        <f t="shared" si="4"/>
        <v>1.75</v>
      </c>
    </row>
    <row r="37" spans="1:15" x14ac:dyDescent="0.2">
      <c r="A37" s="8">
        <v>36</v>
      </c>
      <c r="B37" s="2">
        <v>333665478</v>
      </c>
      <c r="C37" s="2" t="s">
        <v>42</v>
      </c>
      <c r="D37" s="7">
        <v>45748</v>
      </c>
      <c r="E37" s="7">
        <v>45838</v>
      </c>
      <c r="F37" s="16">
        <f>'Q1-25'!I37</f>
        <v>1218</v>
      </c>
      <c r="G37" s="16">
        <v>95</v>
      </c>
      <c r="H37" s="16">
        <v>110</v>
      </c>
      <c r="I37" s="16">
        <f t="shared" si="5"/>
        <v>1203</v>
      </c>
      <c r="J37" s="17">
        <f t="shared" si="0"/>
        <v>1210.5</v>
      </c>
      <c r="K37" s="24">
        <f t="shared" si="1"/>
        <v>9.0871540685667079E-2</v>
      </c>
      <c r="L37" s="19">
        <f t="shared" si="2"/>
        <v>3961.6363636363635</v>
      </c>
      <c r="M37" s="19">
        <v>100</v>
      </c>
      <c r="N37" s="23">
        <f t="shared" si="3"/>
        <v>12.03</v>
      </c>
      <c r="O37" s="23">
        <f t="shared" si="4"/>
        <v>3.0074999999999998</v>
      </c>
    </row>
    <row r="38" spans="1:15" x14ac:dyDescent="0.2">
      <c r="A38" s="8">
        <v>37</v>
      </c>
      <c r="B38" s="2">
        <v>995432017</v>
      </c>
      <c r="C38" s="2" t="s">
        <v>43</v>
      </c>
      <c r="D38" s="7">
        <v>45748</v>
      </c>
      <c r="E38" s="7">
        <v>45838</v>
      </c>
      <c r="F38" s="16">
        <f>'Q1-25'!I38</f>
        <v>1003</v>
      </c>
      <c r="G38" s="16">
        <v>1987</v>
      </c>
      <c r="H38" s="16">
        <v>806</v>
      </c>
      <c r="I38" s="16">
        <f t="shared" si="5"/>
        <v>2184</v>
      </c>
      <c r="J38" s="17">
        <f t="shared" si="0"/>
        <v>1593.5</v>
      </c>
      <c r="K38" s="24">
        <f t="shared" si="1"/>
        <v>0.50580483213053029</v>
      </c>
      <c r="L38" s="19">
        <f t="shared" si="2"/>
        <v>711.73697270471462</v>
      </c>
      <c r="M38" s="19">
        <v>800</v>
      </c>
      <c r="N38" s="23">
        <f t="shared" si="3"/>
        <v>2.73</v>
      </c>
      <c r="O38" s="23">
        <f t="shared" si="4"/>
        <v>0.6825</v>
      </c>
    </row>
    <row r="39" spans="1:15" x14ac:dyDescent="0.2">
      <c r="A39" s="8">
        <v>38</v>
      </c>
      <c r="B39" s="2">
        <v>783695210</v>
      </c>
      <c r="C39" s="2" t="s">
        <v>44</v>
      </c>
      <c r="D39" s="7">
        <v>45748</v>
      </c>
      <c r="E39" s="7">
        <v>45838</v>
      </c>
      <c r="F39" s="16">
        <f>'Q1-25'!I39</f>
        <v>1629</v>
      </c>
      <c r="G39" s="16">
        <v>647</v>
      </c>
      <c r="H39" s="16">
        <v>467</v>
      </c>
      <c r="I39" s="16">
        <f t="shared" si="5"/>
        <v>1809</v>
      </c>
      <c r="J39" s="17">
        <f t="shared" si="0"/>
        <v>1719</v>
      </c>
      <c r="K39" s="24">
        <f t="shared" si="1"/>
        <v>0.27166957533449682</v>
      </c>
      <c r="L39" s="19">
        <f t="shared" si="2"/>
        <v>1325.1391862955031</v>
      </c>
      <c r="M39" s="19">
        <v>460</v>
      </c>
      <c r="N39" s="23">
        <f t="shared" si="3"/>
        <v>3.9326086956521737</v>
      </c>
      <c r="O39" s="23">
        <f t="shared" si="4"/>
        <v>0.98315217391304344</v>
      </c>
    </row>
    <row r="40" spans="1:15" x14ac:dyDescent="0.2">
      <c r="A40" s="8">
        <v>39</v>
      </c>
      <c r="B40" s="2">
        <v>127869354</v>
      </c>
      <c r="C40" s="2" t="s">
        <v>45</v>
      </c>
      <c r="D40" s="7">
        <v>45748</v>
      </c>
      <c r="E40" s="7">
        <v>45838</v>
      </c>
      <c r="F40" s="16">
        <f>'Q1-25'!I40</f>
        <v>694</v>
      </c>
      <c r="G40" s="16">
        <v>0</v>
      </c>
      <c r="H40" s="16">
        <v>94</v>
      </c>
      <c r="I40" s="16">
        <f t="shared" si="5"/>
        <v>600</v>
      </c>
      <c r="J40" s="17">
        <f t="shared" si="0"/>
        <v>647</v>
      </c>
      <c r="K40" s="24">
        <f t="shared" si="1"/>
        <v>0.14528593508500773</v>
      </c>
      <c r="L40" s="19">
        <f t="shared" si="2"/>
        <v>2477.872340425532</v>
      </c>
      <c r="M40" s="19">
        <v>90</v>
      </c>
      <c r="N40" s="23">
        <f t="shared" si="3"/>
        <v>6.666666666666667</v>
      </c>
      <c r="O40" s="23">
        <f t="shared" si="4"/>
        <v>1.6666666666666667</v>
      </c>
    </row>
    <row r="41" spans="1:15" x14ac:dyDescent="0.2">
      <c r="A41" s="8">
        <v>40</v>
      </c>
      <c r="B41" s="2">
        <v>410236987</v>
      </c>
      <c r="C41" s="2" t="s">
        <v>46</v>
      </c>
      <c r="D41" s="7">
        <v>45748</v>
      </c>
      <c r="E41" s="7">
        <v>45838</v>
      </c>
      <c r="F41" s="16">
        <f>'Q1-25'!I41</f>
        <v>385</v>
      </c>
      <c r="G41" s="16">
        <v>987</v>
      </c>
      <c r="H41" s="16">
        <v>611</v>
      </c>
      <c r="I41" s="16">
        <f t="shared" si="5"/>
        <v>761</v>
      </c>
      <c r="J41" s="17">
        <f t="shared" si="0"/>
        <v>573</v>
      </c>
      <c r="K41" s="24">
        <f t="shared" si="1"/>
        <v>1.0663176265270506</v>
      </c>
      <c r="L41" s="19">
        <f t="shared" si="2"/>
        <v>337.61047463175123</v>
      </c>
      <c r="M41" s="19">
        <v>610</v>
      </c>
      <c r="N41" s="23">
        <f t="shared" si="3"/>
        <v>1.2475409836065574</v>
      </c>
      <c r="O41" s="23">
        <f t="shared" si="4"/>
        <v>0.31188524590163935</v>
      </c>
    </row>
    <row r="42" spans="1:15" x14ac:dyDescent="0.2">
      <c r="A42" s="8">
        <v>41</v>
      </c>
      <c r="B42" s="2">
        <v>753159847</v>
      </c>
      <c r="C42" s="2" t="s">
        <v>47</v>
      </c>
      <c r="D42" s="7">
        <v>45748</v>
      </c>
      <c r="E42" s="7">
        <v>45838</v>
      </c>
      <c r="F42" s="16">
        <f>'Q1-25'!I42</f>
        <v>943</v>
      </c>
      <c r="G42" s="16">
        <v>85</v>
      </c>
      <c r="H42" s="16">
        <v>236</v>
      </c>
      <c r="I42" s="16">
        <f t="shared" si="5"/>
        <v>792</v>
      </c>
      <c r="J42" s="17">
        <f t="shared" si="0"/>
        <v>867.5</v>
      </c>
      <c r="K42" s="24">
        <f t="shared" si="1"/>
        <v>0.27204610951008645</v>
      </c>
      <c r="L42" s="19">
        <f t="shared" si="2"/>
        <v>1323.3050847457628</v>
      </c>
      <c r="M42" s="19">
        <v>230</v>
      </c>
      <c r="N42" s="23">
        <f t="shared" si="3"/>
        <v>3.4434782608695653</v>
      </c>
      <c r="O42" s="23">
        <f t="shared" si="4"/>
        <v>0.86086956521739133</v>
      </c>
    </row>
    <row r="43" spans="1:15" x14ac:dyDescent="0.2">
      <c r="A43" s="8">
        <v>42</v>
      </c>
      <c r="B43" s="2">
        <v>789321456</v>
      </c>
      <c r="C43" s="2" t="s">
        <v>48</v>
      </c>
      <c r="D43" s="7">
        <v>45748</v>
      </c>
      <c r="E43" s="7">
        <v>45838</v>
      </c>
      <c r="F43" s="16">
        <f>'Q1-25'!I43</f>
        <v>1766</v>
      </c>
      <c r="G43" s="16">
        <v>2241</v>
      </c>
      <c r="H43" s="16">
        <v>1503</v>
      </c>
      <c r="I43" s="16">
        <f t="shared" si="5"/>
        <v>2504</v>
      </c>
      <c r="J43" s="17">
        <f t="shared" si="0"/>
        <v>2135</v>
      </c>
      <c r="K43" s="24">
        <f t="shared" si="1"/>
        <v>0.70398126463700239</v>
      </c>
      <c r="L43" s="19">
        <f t="shared" si="2"/>
        <v>511.37724550898201</v>
      </c>
      <c r="M43" s="19">
        <v>1520</v>
      </c>
      <c r="N43" s="23">
        <f t="shared" si="3"/>
        <v>1.6473684210526316</v>
      </c>
      <c r="O43" s="23">
        <f t="shared" si="4"/>
        <v>0.4118421052631579</v>
      </c>
    </row>
    <row r="44" spans="1:15" x14ac:dyDescent="0.2">
      <c r="A44" s="8">
        <v>43</v>
      </c>
      <c r="B44" s="2">
        <v>204587456</v>
      </c>
      <c r="C44" s="2" t="s">
        <v>49</v>
      </c>
      <c r="D44" s="7">
        <v>45748</v>
      </c>
      <c r="E44" s="7">
        <v>45838</v>
      </c>
      <c r="F44" s="16">
        <f>'Q1-25'!I44</f>
        <v>250</v>
      </c>
      <c r="G44" s="16">
        <v>75</v>
      </c>
      <c r="H44" s="16">
        <v>38</v>
      </c>
      <c r="I44" s="16">
        <f t="shared" si="5"/>
        <v>287</v>
      </c>
      <c r="J44" s="17">
        <f t="shared" si="0"/>
        <v>268.5</v>
      </c>
      <c r="K44" s="24">
        <f t="shared" si="1"/>
        <v>0.14152700186219738</v>
      </c>
      <c r="L44" s="19">
        <f t="shared" si="2"/>
        <v>2543.6842105263158</v>
      </c>
      <c r="M44" s="19">
        <v>40</v>
      </c>
      <c r="N44" s="23">
        <f t="shared" si="3"/>
        <v>7.1749999999999998</v>
      </c>
      <c r="O44" s="23">
        <f t="shared" si="4"/>
        <v>1.79375</v>
      </c>
    </row>
    <row r="45" spans="1:15" x14ac:dyDescent="0.2">
      <c r="A45" s="8">
        <v>44</v>
      </c>
      <c r="B45" s="2">
        <v>857674020</v>
      </c>
      <c r="C45" s="2" t="s">
        <v>50</v>
      </c>
      <c r="D45" s="7">
        <v>45748</v>
      </c>
      <c r="E45" s="7">
        <v>45838</v>
      </c>
      <c r="F45" s="16">
        <f>'Q1-25'!I45</f>
        <v>1321</v>
      </c>
      <c r="G45" s="16">
        <v>1080</v>
      </c>
      <c r="H45" s="16">
        <v>500</v>
      </c>
      <c r="I45" s="16">
        <f t="shared" si="5"/>
        <v>1901</v>
      </c>
      <c r="J45" s="17">
        <f t="shared" si="0"/>
        <v>1611</v>
      </c>
      <c r="K45" s="24">
        <f t="shared" si="1"/>
        <v>0.31036623215394166</v>
      </c>
      <c r="L45" s="19">
        <f t="shared" si="2"/>
        <v>1159.92</v>
      </c>
      <c r="M45" s="19">
        <v>502</v>
      </c>
      <c r="N45" s="23">
        <f t="shared" si="3"/>
        <v>3.7868525896414345</v>
      </c>
      <c r="O45" s="23">
        <f t="shared" si="4"/>
        <v>0.94671314741035861</v>
      </c>
    </row>
    <row r="46" spans="1:15" x14ac:dyDescent="0.2">
      <c r="A46" s="8">
        <v>45</v>
      </c>
      <c r="B46" s="2">
        <v>857674721</v>
      </c>
      <c r="C46" s="2" t="s">
        <v>51</v>
      </c>
      <c r="D46" s="7">
        <v>45748</v>
      </c>
      <c r="E46" s="7">
        <v>45838</v>
      </c>
      <c r="F46" s="16">
        <f>'Q1-25'!I46</f>
        <v>329</v>
      </c>
      <c r="G46" s="16">
        <v>380</v>
      </c>
      <c r="H46" s="16">
        <v>410</v>
      </c>
      <c r="I46" s="16">
        <f t="shared" si="5"/>
        <v>299</v>
      </c>
      <c r="J46" s="17">
        <f t="shared" si="0"/>
        <v>314</v>
      </c>
      <c r="K46" s="24">
        <f t="shared" si="1"/>
        <v>1.3057324840764331</v>
      </c>
      <c r="L46" s="19">
        <f t="shared" si="2"/>
        <v>275.70731707317077</v>
      </c>
      <c r="M46" s="19">
        <v>410</v>
      </c>
      <c r="N46" s="23">
        <f t="shared" si="3"/>
        <v>0.72926829268292681</v>
      </c>
      <c r="O46" s="23">
        <f t="shared" si="4"/>
        <v>0.1823170731707317</v>
      </c>
    </row>
    <row r="47" spans="1:15" x14ac:dyDescent="0.2">
      <c r="A47" s="8">
        <v>46</v>
      </c>
      <c r="B47" s="2">
        <v>986325784</v>
      </c>
      <c r="C47" s="2" t="s">
        <v>52</v>
      </c>
      <c r="D47" s="7">
        <v>45748</v>
      </c>
      <c r="E47" s="7">
        <v>45838</v>
      </c>
      <c r="F47" s="16">
        <f>'Q1-25'!I47</f>
        <v>869</v>
      </c>
      <c r="G47" s="16">
        <v>57</v>
      </c>
      <c r="H47" s="16">
        <v>131</v>
      </c>
      <c r="I47" s="16">
        <f t="shared" si="5"/>
        <v>795</v>
      </c>
      <c r="J47" s="17">
        <f t="shared" si="0"/>
        <v>832</v>
      </c>
      <c r="K47" s="24">
        <f t="shared" si="1"/>
        <v>0.15745192307692307</v>
      </c>
      <c r="L47" s="19">
        <f t="shared" si="2"/>
        <v>2286.4122137404579</v>
      </c>
      <c r="M47" s="19">
        <v>120</v>
      </c>
      <c r="N47" s="23">
        <f t="shared" si="3"/>
        <v>6.625</v>
      </c>
      <c r="O47" s="23">
        <f t="shared" si="4"/>
        <v>1.65625</v>
      </c>
    </row>
  </sheetData>
  <autoFilter ref="A1:O1" xr:uid="{F557C80C-39D5-43C6-AA83-01C62FBD9520}">
    <sortState xmlns:xlrd2="http://schemas.microsoft.com/office/spreadsheetml/2017/richdata2" ref="A2:O47">
      <sortCondition ref="A1"/>
    </sortState>
  </autoFilter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5819-5371-48BF-A87F-A541E8B8E4CA}">
  <dimension ref="A1:P47"/>
  <sheetViews>
    <sheetView workbookViewId="0">
      <selection activeCell="Q17" sqref="Q17"/>
    </sheetView>
  </sheetViews>
  <sheetFormatPr baseColWidth="10" defaultColWidth="8.7109375" defaultRowHeight="12.75" x14ac:dyDescent="0.2"/>
  <cols>
    <col min="1" max="1" width="5.5703125" style="3" bestFit="1" customWidth="1"/>
    <col min="2" max="2" width="25.140625" style="3" bestFit="1" customWidth="1"/>
    <col min="3" max="3" width="42" style="3" bestFit="1" customWidth="1"/>
    <col min="4" max="5" width="9.5703125" style="3" bestFit="1" customWidth="1"/>
    <col min="6" max="6" width="13.42578125" style="10" bestFit="1" customWidth="1"/>
    <col min="7" max="7" width="6.42578125" style="10" bestFit="1" customWidth="1"/>
    <col min="8" max="8" width="6.85546875" style="10" bestFit="1" customWidth="1"/>
    <col min="9" max="9" width="10.140625" style="10" bestFit="1" customWidth="1"/>
    <col min="10" max="10" width="17.28515625" style="10" bestFit="1" customWidth="1"/>
    <col min="11" max="11" width="6.5703125" style="10" bestFit="1" customWidth="1"/>
    <col min="12" max="12" width="18.5703125" style="10" customWidth="1"/>
    <col min="13" max="13" width="22.140625" style="10" bestFit="1" customWidth="1"/>
    <col min="14" max="14" width="14.28515625" style="10" bestFit="1" customWidth="1"/>
    <col min="15" max="15" width="12.85546875" style="10" bestFit="1" customWidth="1"/>
    <col min="16" max="16" width="8.7109375" style="10"/>
    <col min="17" max="16384" width="8.7109375" style="3"/>
  </cols>
  <sheetData>
    <row r="1" spans="1:16" customFormat="1" ht="51" x14ac:dyDescent="0.2">
      <c r="A1" s="4" t="s">
        <v>11</v>
      </c>
      <c r="B1" s="4" t="s">
        <v>0</v>
      </c>
      <c r="C1" s="4" t="s">
        <v>9</v>
      </c>
      <c r="D1" s="4" t="s">
        <v>1</v>
      </c>
      <c r="E1" s="4" t="s">
        <v>2</v>
      </c>
      <c r="F1" s="5" t="s">
        <v>55</v>
      </c>
      <c r="G1" s="5" t="s">
        <v>56</v>
      </c>
      <c r="H1" s="5" t="s">
        <v>57</v>
      </c>
      <c r="I1" s="5" t="s">
        <v>58</v>
      </c>
      <c r="J1" s="6" t="s">
        <v>59</v>
      </c>
      <c r="K1" s="6" t="s">
        <v>10</v>
      </c>
      <c r="L1" s="6" t="s">
        <v>60</v>
      </c>
      <c r="M1" s="6" t="s">
        <v>61</v>
      </c>
      <c r="N1" s="6" t="s">
        <v>62</v>
      </c>
      <c r="O1" s="6" t="s">
        <v>63</v>
      </c>
      <c r="P1" s="15"/>
    </row>
    <row r="2" spans="1:16" x14ac:dyDescent="0.2">
      <c r="A2" s="8">
        <v>1</v>
      </c>
      <c r="B2" s="2">
        <v>356987401</v>
      </c>
      <c r="C2" s="2" t="s">
        <v>13</v>
      </c>
      <c r="D2" s="7">
        <v>45839</v>
      </c>
      <c r="E2" s="7">
        <v>45930</v>
      </c>
      <c r="F2" s="16">
        <f>'Q2-25'!I2</f>
        <v>31025</v>
      </c>
      <c r="G2" s="16">
        <v>19631</v>
      </c>
      <c r="H2" s="16">
        <v>24987</v>
      </c>
      <c r="I2" s="16">
        <f>F2+G2-H2</f>
        <v>25669</v>
      </c>
      <c r="J2" s="17">
        <f t="shared" ref="J2:J47" si="0">(F2+I2)/2</f>
        <v>28347</v>
      </c>
      <c r="K2" s="18">
        <f t="shared" ref="K2:K47" si="1">IFERROR((H2/J2),0)</f>
        <v>0.8814689385120118</v>
      </c>
      <c r="L2" s="19">
        <f t="shared" ref="L2:L47" si="2">IFERROR(360/K2,0)</f>
        <v>408.40917276984032</v>
      </c>
      <c r="M2" s="19">
        <v>25000</v>
      </c>
      <c r="N2" s="21">
        <f t="shared" ref="N2:N47" si="3">I2/M2</f>
        <v>1.0267599999999999</v>
      </c>
      <c r="O2" s="21">
        <f t="shared" ref="O2:O47" si="4">N2/4</f>
        <v>0.25668999999999997</v>
      </c>
    </row>
    <row r="3" spans="1:16" x14ac:dyDescent="0.2">
      <c r="A3" s="8">
        <v>2</v>
      </c>
      <c r="B3" s="2">
        <v>973156840</v>
      </c>
      <c r="C3" s="2" t="s">
        <v>14</v>
      </c>
      <c r="D3" s="7">
        <v>45839</v>
      </c>
      <c r="E3" s="7">
        <v>45930</v>
      </c>
      <c r="F3" s="16">
        <f>'Q2-25'!I3</f>
        <v>12090</v>
      </c>
      <c r="G3" s="16">
        <v>17</v>
      </c>
      <c r="H3" s="16">
        <v>2003</v>
      </c>
      <c r="I3" s="16">
        <f t="shared" ref="I3:I47" si="5">F3+G3-H3</f>
        <v>10104</v>
      </c>
      <c r="J3" s="17">
        <f t="shared" si="0"/>
        <v>11097</v>
      </c>
      <c r="K3" s="18">
        <f t="shared" si="1"/>
        <v>0.18049923402721457</v>
      </c>
      <c r="L3" s="19">
        <f t="shared" si="2"/>
        <v>1994.4682975536693</v>
      </c>
      <c r="M3" s="19">
        <v>2000</v>
      </c>
      <c r="N3" s="21">
        <f t="shared" si="3"/>
        <v>5.0519999999999996</v>
      </c>
      <c r="O3" s="21">
        <f t="shared" si="4"/>
        <v>1.2629999999999999</v>
      </c>
    </row>
    <row r="4" spans="1:16" x14ac:dyDescent="0.2">
      <c r="A4" s="8">
        <v>3</v>
      </c>
      <c r="B4" s="2">
        <v>578931478</v>
      </c>
      <c r="C4" s="2" t="s">
        <v>15</v>
      </c>
      <c r="D4" s="7">
        <v>45839</v>
      </c>
      <c r="E4" s="7">
        <v>45930</v>
      </c>
      <c r="F4" s="16">
        <f>'Q2-25'!I4</f>
        <v>70959</v>
      </c>
      <c r="G4" s="16">
        <v>23</v>
      </c>
      <c r="H4" s="16">
        <v>550</v>
      </c>
      <c r="I4" s="16">
        <f t="shared" si="5"/>
        <v>70432</v>
      </c>
      <c r="J4" s="17">
        <f t="shared" si="0"/>
        <v>70695.5</v>
      </c>
      <c r="K4" s="18">
        <f t="shared" si="1"/>
        <v>7.779844544560828E-3</v>
      </c>
      <c r="L4" s="19">
        <f t="shared" si="2"/>
        <v>46273.418181818182</v>
      </c>
      <c r="M4" s="19">
        <v>500</v>
      </c>
      <c r="N4" s="21">
        <f t="shared" si="3"/>
        <v>140.864</v>
      </c>
      <c r="O4" s="21">
        <f t="shared" si="4"/>
        <v>35.216000000000001</v>
      </c>
    </row>
    <row r="5" spans="1:16" x14ac:dyDescent="0.2">
      <c r="A5" s="8">
        <v>4</v>
      </c>
      <c r="B5" s="2">
        <v>976258743</v>
      </c>
      <c r="C5" s="2" t="s">
        <v>16</v>
      </c>
      <c r="D5" s="7">
        <v>45839</v>
      </c>
      <c r="E5" s="7">
        <v>45930</v>
      </c>
      <c r="F5" s="16">
        <f>'Q2-25'!I5</f>
        <v>4482</v>
      </c>
      <c r="G5" s="16">
        <v>0</v>
      </c>
      <c r="H5" s="16">
        <v>97</v>
      </c>
      <c r="I5" s="16">
        <f t="shared" si="5"/>
        <v>4385</v>
      </c>
      <c r="J5" s="17">
        <f t="shared" si="0"/>
        <v>4433.5</v>
      </c>
      <c r="K5" s="18">
        <f t="shared" si="1"/>
        <v>2.1878876733957369E-2</v>
      </c>
      <c r="L5" s="19">
        <f t="shared" si="2"/>
        <v>16454.226804123711</v>
      </c>
      <c r="M5" s="19">
        <v>100</v>
      </c>
      <c r="N5" s="21">
        <f t="shared" si="3"/>
        <v>43.85</v>
      </c>
      <c r="O5" s="21">
        <f t="shared" si="4"/>
        <v>10.9625</v>
      </c>
    </row>
    <row r="6" spans="1:16" x14ac:dyDescent="0.2">
      <c r="A6" s="8">
        <v>5</v>
      </c>
      <c r="B6" s="2">
        <v>488369720</v>
      </c>
      <c r="C6" s="2" t="s">
        <v>17</v>
      </c>
      <c r="D6" s="7">
        <v>45839</v>
      </c>
      <c r="E6" s="7">
        <v>45930</v>
      </c>
      <c r="F6" s="16">
        <f>'Q2-25'!I6</f>
        <v>7337</v>
      </c>
      <c r="G6" s="16">
        <v>0</v>
      </c>
      <c r="H6" s="16">
        <v>504</v>
      </c>
      <c r="I6" s="16">
        <f t="shared" si="5"/>
        <v>6833</v>
      </c>
      <c r="J6" s="17">
        <f t="shared" si="0"/>
        <v>7085</v>
      </c>
      <c r="K6" s="18">
        <f t="shared" si="1"/>
        <v>7.1136203246294993E-2</v>
      </c>
      <c r="L6" s="19">
        <f t="shared" si="2"/>
        <v>5060.7142857142853</v>
      </c>
      <c r="M6" s="19">
        <v>500</v>
      </c>
      <c r="N6" s="21">
        <f t="shared" si="3"/>
        <v>13.666</v>
      </c>
      <c r="O6" s="21">
        <f t="shared" si="4"/>
        <v>3.4165000000000001</v>
      </c>
    </row>
    <row r="7" spans="1:16" x14ac:dyDescent="0.2">
      <c r="A7" s="8">
        <v>6</v>
      </c>
      <c r="B7" s="2">
        <v>658742031</v>
      </c>
      <c r="C7" s="2" t="s">
        <v>18</v>
      </c>
      <c r="D7" s="7">
        <v>45839</v>
      </c>
      <c r="E7" s="7">
        <v>45930</v>
      </c>
      <c r="F7" s="16">
        <f>'Q2-25'!I7</f>
        <v>604</v>
      </c>
      <c r="G7" s="16">
        <v>930</v>
      </c>
      <c r="H7" s="16">
        <v>601</v>
      </c>
      <c r="I7" s="16">
        <f t="shared" si="5"/>
        <v>933</v>
      </c>
      <c r="J7" s="17">
        <f t="shared" si="0"/>
        <v>768.5</v>
      </c>
      <c r="K7" s="18">
        <f t="shared" si="1"/>
        <v>0.78204294079375403</v>
      </c>
      <c r="L7" s="19">
        <f t="shared" si="2"/>
        <v>460.33277870216307</v>
      </c>
      <c r="M7" s="19">
        <v>600</v>
      </c>
      <c r="N7" s="21">
        <f t="shared" si="3"/>
        <v>1.5549999999999999</v>
      </c>
      <c r="O7" s="21">
        <f t="shared" si="4"/>
        <v>0.38874999999999998</v>
      </c>
    </row>
    <row r="8" spans="1:16" x14ac:dyDescent="0.2">
      <c r="A8" s="8">
        <v>7</v>
      </c>
      <c r="B8" s="2">
        <v>698742368</v>
      </c>
      <c r="C8" s="2" t="s">
        <v>19</v>
      </c>
      <c r="D8" s="7">
        <v>45839</v>
      </c>
      <c r="E8" s="7">
        <v>45930</v>
      </c>
      <c r="F8" s="16">
        <f>'Q2-25'!I8</f>
        <v>779</v>
      </c>
      <c r="G8" s="16">
        <v>1390</v>
      </c>
      <c r="H8" s="16">
        <v>887</v>
      </c>
      <c r="I8" s="16">
        <f t="shared" si="5"/>
        <v>1282</v>
      </c>
      <c r="J8" s="17">
        <f t="shared" si="0"/>
        <v>1030.5</v>
      </c>
      <c r="K8" s="18">
        <f t="shared" si="1"/>
        <v>0.86074721009218824</v>
      </c>
      <c r="L8" s="19">
        <f t="shared" si="2"/>
        <v>418.2412626832018</v>
      </c>
      <c r="M8" s="19">
        <v>900</v>
      </c>
      <c r="N8" s="21">
        <f t="shared" si="3"/>
        <v>1.4244444444444444</v>
      </c>
      <c r="O8" s="21">
        <f t="shared" si="4"/>
        <v>0.3561111111111111</v>
      </c>
    </row>
    <row r="9" spans="1:16" x14ac:dyDescent="0.2">
      <c r="A9" s="8">
        <v>8</v>
      </c>
      <c r="B9" s="2">
        <v>752147896</v>
      </c>
      <c r="C9" s="2" t="s">
        <v>20</v>
      </c>
      <c r="D9" s="7">
        <v>45839</v>
      </c>
      <c r="E9" s="7">
        <v>45930</v>
      </c>
      <c r="F9" s="16">
        <f>'Q2-25'!I9</f>
        <v>3352</v>
      </c>
      <c r="G9" s="16">
        <v>97</v>
      </c>
      <c r="H9" s="16">
        <v>393</v>
      </c>
      <c r="I9" s="16">
        <f t="shared" si="5"/>
        <v>3056</v>
      </c>
      <c r="J9" s="17">
        <f t="shared" si="0"/>
        <v>3204</v>
      </c>
      <c r="K9" s="18">
        <f t="shared" si="1"/>
        <v>0.12265917602996254</v>
      </c>
      <c r="L9" s="19">
        <f t="shared" si="2"/>
        <v>2934.9618320610689</v>
      </c>
      <c r="M9" s="19">
        <v>400</v>
      </c>
      <c r="N9" s="21">
        <f t="shared" si="3"/>
        <v>7.64</v>
      </c>
      <c r="O9" s="21">
        <f t="shared" si="4"/>
        <v>1.91</v>
      </c>
    </row>
    <row r="10" spans="1:16" x14ac:dyDescent="0.2">
      <c r="A10" s="8">
        <v>9</v>
      </c>
      <c r="B10" s="2">
        <v>698753010</v>
      </c>
      <c r="C10" s="2" t="s">
        <v>21</v>
      </c>
      <c r="D10" s="7">
        <v>45839</v>
      </c>
      <c r="E10" s="7">
        <v>45930</v>
      </c>
      <c r="F10" s="16">
        <f>'Q2-25'!I10</f>
        <v>531</v>
      </c>
      <c r="G10" s="16">
        <v>324</v>
      </c>
      <c r="H10" s="16">
        <v>254</v>
      </c>
      <c r="I10" s="16">
        <f t="shared" si="5"/>
        <v>601</v>
      </c>
      <c r="J10" s="17">
        <f t="shared" si="0"/>
        <v>566</v>
      </c>
      <c r="K10" s="18">
        <f t="shared" si="1"/>
        <v>0.44876325088339225</v>
      </c>
      <c r="L10" s="19">
        <f t="shared" si="2"/>
        <v>802.20472440944877</v>
      </c>
      <c r="M10" s="19">
        <v>250</v>
      </c>
      <c r="N10" s="21">
        <f t="shared" si="3"/>
        <v>2.4039999999999999</v>
      </c>
      <c r="O10" s="21">
        <f t="shared" si="4"/>
        <v>0.60099999999999998</v>
      </c>
    </row>
    <row r="11" spans="1:16" x14ac:dyDescent="0.2">
      <c r="A11" s="8">
        <v>10</v>
      </c>
      <c r="B11" s="2">
        <v>973156840</v>
      </c>
      <c r="C11" s="2" t="s">
        <v>14</v>
      </c>
      <c r="D11" s="7">
        <v>45839</v>
      </c>
      <c r="E11" s="7">
        <v>45930</v>
      </c>
      <c r="F11" s="16">
        <f>'Q2-25'!I11</f>
        <v>639</v>
      </c>
      <c r="G11" s="16">
        <v>109</v>
      </c>
      <c r="H11" s="16">
        <v>347</v>
      </c>
      <c r="I11" s="16">
        <f t="shared" si="5"/>
        <v>401</v>
      </c>
      <c r="J11" s="17">
        <f t="shared" si="0"/>
        <v>520</v>
      </c>
      <c r="K11" s="18">
        <f t="shared" si="1"/>
        <v>0.66730769230769227</v>
      </c>
      <c r="L11" s="19">
        <f t="shared" si="2"/>
        <v>539.48126801152739</v>
      </c>
      <c r="M11" s="19">
        <v>350</v>
      </c>
      <c r="N11" s="21">
        <f t="shared" si="3"/>
        <v>1.1457142857142857</v>
      </c>
      <c r="O11" s="21">
        <f t="shared" si="4"/>
        <v>0.28642857142857142</v>
      </c>
    </row>
    <row r="12" spans="1:16" x14ac:dyDescent="0.2">
      <c r="A12" s="8">
        <v>11</v>
      </c>
      <c r="B12" s="2">
        <v>259874130</v>
      </c>
      <c r="C12" s="2" t="s">
        <v>22</v>
      </c>
      <c r="D12" s="7">
        <v>45839</v>
      </c>
      <c r="E12" s="7">
        <v>45930</v>
      </c>
      <c r="F12" s="16">
        <f>'Q2-25'!I12</f>
        <v>2757</v>
      </c>
      <c r="G12" s="16">
        <v>10</v>
      </c>
      <c r="H12" s="16">
        <v>990</v>
      </c>
      <c r="I12" s="16">
        <f t="shared" si="5"/>
        <v>1777</v>
      </c>
      <c r="J12" s="17">
        <f t="shared" si="0"/>
        <v>2267</v>
      </c>
      <c r="K12" s="18">
        <f t="shared" si="1"/>
        <v>0.43670048522276134</v>
      </c>
      <c r="L12" s="19">
        <f t="shared" si="2"/>
        <v>824.36363636363637</v>
      </c>
      <c r="M12" s="19">
        <v>1000</v>
      </c>
      <c r="N12" s="21">
        <f t="shared" si="3"/>
        <v>1.7769999999999999</v>
      </c>
      <c r="O12" s="21">
        <f t="shared" si="4"/>
        <v>0.44424999999999998</v>
      </c>
    </row>
    <row r="13" spans="1:16" x14ac:dyDescent="0.2">
      <c r="A13" s="8">
        <v>12</v>
      </c>
      <c r="B13" s="2">
        <v>752147896</v>
      </c>
      <c r="C13" s="2" t="s">
        <v>20</v>
      </c>
      <c r="D13" s="7">
        <v>45839</v>
      </c>
      <c r="E13" s="7">
        <v>45930</v>
      </c>
      <c r="F13" s="16">
        <f>'Q2-25'!I13</f>
        <v>964</v>
      </c>
      <c r="G13" s="16">
        <v>146</v>
      </c>
      <c r="H13" s="16">
        <v>180</v>
      </c>
      <c r="I13" s="16">
        <f t="shared" si="5"/>
        <v>930</v>
      </c>
      <c r="J13" s="17">
        <f t="shared" si="0"/>
        <v>947</v>
      </c>
      <c r="K13" s="18">
        <f t="shared" si="1"/>
        <v>0.19007391763463569</v>
      </c>
      <c r="L13" s="19">
        <f t="shared" si="2"/>
        <v>1894</v>
      </c>
      <c r="M13" s="19">
        <v>200</v>
      </c>
      <c r="N13" s="21">
        <f t="shared" si="3"/>
        <v>4.6500000000000004</v>
      </c>
      <c r="O13" s="21">
        <f t="shared" si="4"/>
        <v>1.1625000000000001</v>
      </c>
    </row>
    <row r="14" spans="1:16" x14ac:dyDescent="0.2">
      <c r="A14" s="8">
        <v>13</v>
      </c>
      <c r="B14" s="2">
        <v>987453210</v>
      </c>
      <c r="C14" s="2" t="s">
        <v>23</v>
      </c>
      <c r="D14" s="7">
        <v>45839</v>
      </c>
      <c r="E14" s="7">
        <v>45930</v>
      </c>
      <c r="F14" s="16">
        <f>'Q2-25'!I14</f>
        <v>823</v>
      </c>
      <c r="G14" s="16">
        <v>293</v>
      </c>
      <c r="H14" s="16">
        <v>228</v>
      </c>
      <c r="I14" s="16">
        <f t="shared" si="5"/>
        <v>888</v>
      </c>
      <c r="J14" s="17">
        <f t="shared" si="0"/>
        <v>855.5</v>
      </c>
      <c r="K14" s="18">
        <f t="shared" si="1"/>
        <v>0.26651081239041496</v>
      </c>
      <c r="L14" s="19">
        <f t="shared" si="2"/>
        <v>1350.7894736842104</v>
      </c>
      <c r="M14" s="19">
        <v>225</v>
      </c>
      <c r="N14" s="21">
        <f t="shared" si="3"/>
        <v>3.9466666666666668</v>
      </c>
      <c r="O14" s="21">
        <f t="shared" si="4"/>
        <v>0.98666666666666669</v>
      </c>
    </row>
    <row r="15" spans="1:16" x14ac:dyDescent="0.2">
      <c r="A15" s="8">
        <v>14</v>
      </c>
      <c r="B15" s="2">
        <v>789650214</v>
      </c>
      <c r="C15" s="2" t="s">
        <v>24</v>
      </c>
      <c r="D15" s="7">
        <v>45839</v>
      </c>
      <c r="E15" s="7">
        <v>45930</v>
      </c>
      <c r="F15" s="16">
        <f>'Q2-25'!I15</f>
        <v>1019</v>
      </c>
      <c r="G15" s="16">
        <v>0</v>
      </c>
      <c r="H15" s="16">
        <v>129</v>
      </c>
      <c r="I15" s="16">
        <f t="shared" si="5"/>
        <v>890</v>
      </c>
      <c r="J15" s="17">
        <f t="shared" si="0"/>
        <v>954.5</v>
      </c>
      <c r="K15" s="18">
        <f t="shared" si="1"/>
        <v>0.13514929282346777</v>
      </c>
      <c r="L15" s="19">
        <f t="shared" si="2"/>
        <v>2663.7209302325582</v>
      </c>
      <c r="M15" s="19">
        <v>124</v>
      </c>
      <c r="N15" s="21">
        <f t="shared" si="3"/>
        <v>7.17741935483871</v>
      </c>
      <c r="O15" s="21">
        <f t="shared" si="4"/>
        <v>1.7943548387096775</v>
      </c>
    </row>
    <row r="16" spans="1:16" x14ac:dyDescent="0.2">
      <c r="A16" s="8">
        <v>15</v>
      </c>
      <c r="B16" s="2">
        <v>147896576</v>
      </c>
      <c r="C16" s="2" t="s">
        <v>25</v>
      </c>
      <c r="D16" s="7">
        <v>45839</v>
      </c>
      <c r="E16" s="7">
        <v>45930</v>
      </c>
      <c r="F16" s="16">
        <f>'Q2-25'!I16</f>
        <v>16980</v>
      </c>
      <c r="G16" s="16">
        <v>0</v>
      </c>
      <c r="H16" s="16">
        <v>764</v>
      </c>
      <c r="I16" s="16">
        <f t="shared" si="5"/>
        <v>16216</v>
      </c>
      <c r="J16" s="17">
        <f t="shared" si="0"/>
        <v>16598</v>
      </c>
      <c r="K16" s="18">
        <f t="shared" si="1"/>
        <v>4.6029642125557296E-2</v>
      </c>
      <c r="L16" s="19">
        <f t="shared" si="2"/>
        <v>7821.047120418848</v>
      </c>
      <c r="M16" s="19">
        <v>780</v>
      </c>
      <c r="N16" s="21">
        <f t="shared" si="3"/>
        <v>20.78974358974359</v>
      </c>
      <c r="O16" s="21">
        <f t="shared" si="4"/>
        <v>5.1974358974358976</v>
      </c>
    </row>
    <row r="17" spans="1:15" x14ac:dyDescent="0.2">
      <c r="A17" s="8">
        <v>16</v>
      </c>
      <c r="B17" s="2">
        <v>217856258</v>
      </c>
      <c r="C17" s="2" t="s">
        <v>26</v>
      </c>
      <c r="D17" s="7">
        <v>45839</v>
      </c>
      <c r="E17" s="7">
        <v>45930</v>
      </c>
      <c r="F17" s="16">
        <f>'Q2-25'!I17</f>
        <v>2003</v>
      </c>
      <c r="G17" s="16">
        <v>10589</v>
      </c>
      <c r="H17" s="16">
        <v>9002</v>
      </c>
      <c r="I17" s="16">
        <f t="shared" si="5"/>
        <v>3590</v>
      </c>
      <c r="J17" s="17">
        <f t="shared" si="0"/>
        <v>2796.5</v>
      </c>
      <c r="K17" s="18">
        <f t="shared" si="1"/>
        <v>3.2190237797246559</v>
      </c>
      <c r="L17" s="19">
        <f t="shared" si="2"/>
        <v>111.83514774494556</v>
      </c>
      <c r="M17" s="19">
        <v>8500</v>
      </c>
      <c r="N17" s="21">
        <f t="shared" si="3"/>
        <v>0.4223529411764706</v>
      </c>
      <c r="O17" s="21">
        <f t="shared" si="4"/>
        <v>0.10558823529411765</v>
      </c>
    </row>
    <row r="18" spans="1:15" x14ac:dyDescent="0.2">
      <c r="A18" s="8">
        <v>17</v>
      </c>
      <c r="B18" s="2">
        <v>586971430</v>
      </c>
      <c r="C18" s="2" t="s">
        <v>27</v>
      </c>
      <c r="D18" s="7">
        <v>45839</v>
      </c>
      <c r="E18" s="7">
        <v>45930</v>
      </c>
      <c r="F18" s="16">
        <f>'Q2-25'!I18</f>
        <v>1396</v>
      </c>
      <c r="G18" s="16">
        <v>85</v>
      </c>
      <c r="H18" s="16">
        <v>256</v>
      </c>
      <c r="I18" s="16">
        <f t="shared" si="5"/>
        <v>1225</v>
      </c>
      <c r="J18" s="17">
        <f t="shared" si="0"/>
        <v>1310.5</v>
      </c>
      <c r="K18" s="18">
        <f t="shared" si="1"/>
        <v>0.19534528805799314</v>
      </c>
      <c r="L18" s="19">
        <f t="shared" si="2"/>
        <v>1842.890625</v>
      </c>
      <c r="M18" s="19">
        <v>250</v>
      </c>
      <c r="N18" s="21">
        <f t="shared" si="3"/>
        <v>4.9000000000000004</v>
      </c>
      <c r="O18" s="21">
        <f t="shared" si="4"/>
        <v>1.2250000000000001</v>
      </c>
    </row>
    <row r="19" spans="1:15" x14ac:dyDescent="0.2">
      <c r="A19" s="8">
        <v>18</v>
      </c>
      <c r="B19" s="2">
        <v>201468734</v>
      </c>
      <c r="C19" s="2" t="s">
        <v>28</v>
      </c>
      <c r="D19" s="7">
        <v>45839</v>
      </c>
      <c r="E19" s="7">
        <v>45930</v>
      </c>
      <c r="F19" s="16">
        <f>'Q2-25'!I19</f>
        <v>1142</v>
      </c>
      <c r="G19" s="16">
        <v>306</v>
      </c>
      <c r="H19" s="16">
        <v>363</v>
      </c>
      <c r="I19" s="16">
        <f t="shared" si="5"/>
        <v>1085</v>
      </c>
      <c r="J19" s="17">
        <f t="shared" si="0"/>
        <v>1113.5</v>
      </c>
      <c r="K19" s="18">
        <f t="shared" si="1"/>
        <v>0.32599910193084869</v>
      </c>
      <c r="L19" s="19">
        <f t="shared" si="2"/>
        <v>1104.297520661157</v>
      </c>
      <c r="M19" s="19">
        <v>361.79999999999995</v>
      </c>
      <c r="N19" s="21">
        <f t="shared" si="3"/>
        <v>2.9988944168048648</v>
      </c>
      <c r="O19" s="21">
        <f t="shared" si="4"/>
        <v>0.7497236042012162</v>
      </c>
    </row>
    <row r="20" spans="1:15" x14ac:dyDescent="0.2">
      <c r="A20" s="8">
        <v>19</v>
      </c>
      <c r="B20" s="2">
        <v>698753010</v>
      </c>
      <c r="C20" s="2" t="s">
        <v>21</v>
      </c>
      <c r="D20" s="7">
        <v>45839</v>
      </c>
      <c r="E20" s="7">
        <v>45930</v>
      </c>
      <c r="F20" s="16">
        <f>'Q2-25'!I20</f>
        <v>6220</v>
      </c>
      <c r="G20" s="16">
        <v>5</v>
      </c>
      <c r="H20" s="16">
        <v>350</v>
      </c>
      <c r="I20" s="16">
        <f t="shared" si="5"/>
        <v>5875</v>
      </c>
      <c r="J20" s="17">
        <f t="shared" si="0"/>
        <v>6047.5</v>
      </c>
      <c r="K20" s="18">
        <f t="shared" si="1"/>
        <v>5.7875155022736671E-2</v>
      </c>
      <c r="L20" s="19">
        <f t="shared" si="2"/>
        <v>6220.2857142857138</v>
      </c>
      <c r="M20" s="19">
        <v>346.20000000000005</v>
      </c>
      <c r="N20" s="21">
        <f t="shared" si="3"/>
        <v>16.969959560947427</v>
      </c>
      <c r="O20" s="21">
        <f t="shared" si="4"/>
        <v>4.2424898902368566</v>
      </c>
    </row>
    <row r="21" spans="1:15" x14ac:dyDescent="0.2">
      <c r="A21" s="8">
        <v>20</v>
      </c>
      <c r="B21" s="2">
        <v>697521001</v>
      </c>
      <c r="C21" s="2" t="s">
        <v>29</v>
      </c>
      <c r="D21" s="7">
        <v>45839</v>
      </c>
      <c r="E21" s="7">
        <v>45930</v>
      </c>
      <c r="F21" s="16">
        <f>'Q2-25'!I21</f>
        <v>1462</v>
      </c>
      <c r="G21" s="16">
        <v>0</v>
      </c>
      <c r="H21" s="16">
        <v>357</v>
      </c>
      <c r="I21" s="16">
        <f t="shared" si="5"/>
        <v>1105</v>
      </c>
      <c r="J21" s="17">
        <f t="shared" si="0"/>
        <v>1283.5</v>
      </c>
      <c r="K21" s="18">
        <f t="shared" si="1"/>
        <v>0.27814569536423839</v>
      </c>
      <c r="L21" s="19">
        <f t="shared" si="2"/>
        <v>1294.2857142857144</v>
      </c>
      <c r="M21" s="19">
        <v>345.6</v>
      </c>
      <c r="N21" s="21">
        <f t="shared" si="3"/>
        <v>3.1973379629629628</v>
      </c>
      <c r="O21" s="21">
        <f t="shared" si="4"/>
        <v>0.7993344907407407</v>
      </c>
    </row>
    <row r="22" spans="1:15" x14ac:dyDescent="0.2">
      <c r="A22" s="8">
        <v>21</v>
      </c>
      <c r="B22" s="2">
        <v>403587047</v>
      </c>
      <c r="C22" s="2" t="s">
        <v>30</v>
      </c>
      <c r="D22" s="7">
        <v>45839</v>
      </c>
      <c r="E22" s="7">
        <v>45930</v>
      </c>
      <c r="F22" s="16">
        <f>'Q2-25'!I22</f>
        <v>8834</v>
      </c>
      <c r="G22" s="16">
        <v>7</v>
      </c>
      <c r="H22" s="16">
        <v>330</v>
      </c>
      <c r="I22" s="16">
        <f t="shared" si="5"/>
        <v>8511</v>
      </c>
      <c r="J22" s="17">
        <f t="shared" si="0"/>
        <v>8672.5</v>
      </c>
      <c r="K22" s="18">
        <f t="shared" si="1"/>
        <v>3.8051311617180741E-2</v>
      </c>
      <c r="L22" s="19">
        <f t="shared" si="2"/>
        <v>9460.9090909090919</v>
      </c>
      <c r="M22" s="19">
        <v>330</v>
      </c>
      <c r="N22" s="21">
        <f t="shared" si="3"/>
        <v>25.790909090909089</v>
      </c>
      <c r="O22" s="21">
        <f t="shared" si="4"/>
        <v>6.4477272727272723</v>
      </c>
    </row>
    <row r="23" spans="1:15" x14ac:dyDescent="0.2">
      <c r="A23" s="8">
        <v>22</v>
      </c>
      <c r="B23" s="2">
        <v>250360478</v>
      </c>
      <c r="C23" s="2" t="s">
        <v>31</v>
      </c>
      <c r="D23" s="7">
        <v>45839</v>
      </c>
      <c r="E23" s="7">
        <v>45930</v>
      </c>
      <c r="F23" s="16">
        <f>'Q2-25'!I23</f>
        <v>2501</v>
      </c>
      <c r="G23" s="16">
        <v>17</v>
      </c>
      <c r="H23" s="16">
        <v>369</v>
      </c>
      <c r="I23" s="16">
        <f t="shared" si="5"/>
        <v>2149</v>
      </c>
      <c r="J23" s="17">
        <f t="shared" si="0"/>
        <v>2325</v>
      </c>
      <c r="K23" s="18">
        <f t="shared" si="1"/>
        <v>0.15870967741935485</v>
      </c>
      <c r="L23" s="19">
        <f t="shared" si="2"/>
        <v>2268.292682926829</v>
      </c>
      <c r="M23" s="19">
        <v>324</v>
      </c>
      <c r="N23" s="21">
        <f t="shared" si="3"/>
        <v>6.632716049382716</v>
      </c>
      <c r="O23" s="21">
        <f t="shared" si="4"/>
        <v>1.658179012345679</v>
      </c>
    </row>
    <row r="24" spans="1:15" x14ac:dyDescent="0.2">
      <c r="A24" s="8">
        <v>23</v>
      </c>
      <c r="B24" s="2">
        <v>369712587</v>
      </c>
      <c r="C24" s="2" t="s">
        <v>32</v>
      </c>
      <c r="D24" s="7">
        <v>45839</v>
      </c>
      <c r="E24" s="7">
        <v>45930</v>
      </c>
      <c r="F24" s="16">
        <f>'Q2-25'!I24</f>
        <v>1205</v>
      </c>
      <c r="G24" s="16">
        <v>114</v>
      </c>
      <c r="H24" s="16">
        <v>280</v>
      </c>
      <c r="I24" s="16">
        <f t="shared" si="5"/>
        <v>1039</v>
      </c>
      <c r="J24" s="17">
        <f t="shared" si="0"/>
        <v>1122</v>
      </c>
      <c r="K24" s="18">
        <f t="shared" si="1"/>
        <v>0.24955436720142601</v>
      </c>
      <c r="L24" s="19">
        <f t="shared" si="2"/>
        <v>1442.5714285714287</v>
      </c>
      <c r="M24" s="19">
        <v>240</v>
      </c>
      <c r="N24" s="21">
        <f t="shared" si="3"/>
        <v>4.3291666666666666</v>
      </c>
      <c r="O24" s="21">
        <f t="shared" si="4"/>
        <v>1.0822916666666667</v>
      </c>
    </row>
    <row r="25" spans="1:15" x14ac:dyDescent="0.2">
      <c r="A25" s="8">
        <v>24</v>
      </c>
      <c r="B25" s="2">
        <v>236547852</v>
      </c>
      <c r="C25" s="2" t="s">
        <v>33</v>
      </c>
      <c r="D25" s="7">
        <v>45839</v>
      </c>
      <c r="E25" s="7">
        <v>45930</v>
      </c>
      <c r="F25" s="16">
        <f>'Q2-25'!I25</f>
        <v>787</v>
      </c>
      <c r="G25" s="16">
        <v>0</v>
      </c>
      <c r="H25" s="16">
        <v>268</v>
      </c>
      <c r="I25" s="16">
        <f t="shared" si="5"/>
        <v>519</v>
      </c>
      <c r="J25" s="17">
        <f t="shared" si="0"/>
        <v>653</v>
      </c>
      <c r="K25" s="18">
        <f t="shared" si="1"/>
        <v>0.41041347626339969</v>
      </c>
      <c r="L25" s="19">
        <f t="shared" si="2"/>
        <v>877.16417910447763</v>
      </c>
      <c r="M25" s="19">
        <v>270</v>
      </c>
      <c r="N25" s="21">
        <f t="shared" si="3"/>
        <v>1.9222222222222223</v>
      </c>
      <c r="O25" s="21">
        <f t="shared" si="4"/>
        <v>0.48055555555555557</v>
      </c>
    </row>
    <row r="26" spans="1:15" x14ac:dyDescent="0.2">
      <c r="A26" s="8">
        <v>25</v>
      </c>
      <c r="B26" s="2">
        <v>258963214</v>
      </c>
      <c r="C26" s="2" t="s">
        <v>34</v>
      </c>
      <c r="D26" s="7">
        <v>45839</v>
      </c>
      <c r="E26" s="7">
        <v>45930</v>
      </c>
      <c r="F26" s="16">
        <f>'Q2-25'!I26</f>
        <v>384</v>
      </c>
      <c r="G26" s="16">
        <v>583</v>
      </c>
      <c r="H26" s="16">
        <v>231</v>
      </c>
      <c r="I26" s="16">
        <f t="shared" si="5"/>
        <v>736</v>
      </c>
      <c r="J26" s="17">
        <f t="shared" si="0"/>
        <v>560</v>
      </c>
      <c r="K26" s="18">
        <f t="shared" si="1"/>
        <v>0.41249999999999998</v>
      </c>
      <c r="L26" s="19">
        <f t="shared" si="2"/>
        <v>872.72727272727275</v>
      </c>
      <c r="M26" s="19">
        <v>230</v>
      </c>
      <c r="N26" s="21">
        <f t="shared" si="3"/>
        <v>3.2</v>
      </c>
      <c r="O26" s="21">
        <f t="shared" si="4"/>
        <v>0.8</v>
      </c>
    </row>
    <row r="27" spans="1:15" x14ac:dyDescent="0.2">
      <c r="A27" s="8">
        <v>26</v>
      </c>
      <c r="B27" s="2">
        <v>578931478</v>
      </c>
      <c r="C27" s="2" t="s">
        <v>15</v>
      </c>
      <c r="D27" s="7">
        <v>45839</v>
      </c>
      <c r="E27" s="7">
        <v>45930</v>
      </c>
      <c r="F27" s="16">
        <f>'Q2-25'!I27</f>
        <v>946</v>
      </c>
      <c r="G27" s="16">
        <v>1</v>
      </c>
      <c r="H27" s="16">
        <v>247</v>
      </c>
      <c r="I27" s="16">
        <f t="shared" si="5"/>
        <v>700</v>
      </c>
      <c r="J27" s="17">
        <f t="shared" si="0"/>
        <v>823</v>
      </c>
      <c r="K27" s="18">
        <f t="shared" si="1"/>
        <v>0.30012150668286758</v>
      </c>
      <c r="L27" s="19">
        <f t="shared" si="2"/>
        <v>1199.5141700404859</v>
      </c>
      <c r="M27" s="19">
        <v>250</v>
      </c>
      <c r="N27" s="21">
        <f t="shared" si="3"/>
        <v>2.8</v>
      </c>
      <c r="O27" s="21">
        <f t="shared" si="4"/>
        <v>0.7</v>
      </c>
    </row>
    <row r="28" spans="1:15" x14ac:dyDescent="0.2">
      <c r="A28" s="8">
        <v>27</v>
      </c>
      <c r="B28" s="2">
        <v>217856258</v>
      </c>
      <c r="C28" s="2" t="s">
        <v>26</v>
      </c>
      <c r="D28" s="7">
        <v>45839</v>
      </c>
      <c r="E28" s="7">
        <v>45930</v>
      </c>
      <c r="F28" s="16">
        <f>'Q2-25'!I28</f>
        <v>1807</v>
      </c>
      <c r="G28" s="16">
        <v>805</v>
      </c>
      <c r="H28" s="16">
        <v>789</v>
      </c>
      <c r="I28" s="16">
        <f t="shared" si="5"/>
        <v>1823</v>
      </c>
      <c r="J28" s="17">
        <f t="shared" si="0"/>
        <v>1815</v>
      </c>
      <c r="K28" s="18">
        <f t="shared" si="1"/>
        <v>0.43471074380165287</v>
      </c>
      <c r="L28" s="19">
        <f t="shared" si="2"/>
        <v>828.13688212927764</v>
      </c>
      <c r="M28" s="19">
        <v>800</v>
      </c>
      <c r="N28" s="21">
        <f t="shared" si="3"/>
        <v>2.2787500000000001</v>
      </c>
      <c r="O28" s="21">
        <f t="shared" si="4"/>
        <v>0.56968750000000001</v>
      </c>
    </row>
    <row r="29" spans="1:15" x14ac:dyDescent="0.2">
      <c r="A29" s="8">
        <v>28</v>
      </c>
      <c r="B29" s="2">
        <v>369874522</v>
      </c>
      <c r="C29" s="2" t="s">
        <v>35</v>
      </c>
      <c r="D29" s="7">
        <v>45839</v>
      </c>
      <c r="E29" s="7">
        <v>45930</v>
      </c>
      <c r="F29" s="16">
        <f>'Q2-25'!I29</f>
        <v>705</v>
      </c>
      <c r="G29" s="16">
        <v>5</v>
      </c>
      <c r="H29" s="16">
        <v>140</v>
      </c>
      <c r="I29" s="16">
        <f t="shared" si="5"/>
        <v>570</v>
      </c>
      <c r="J29" s="17">
        <f t="shared" si="0"/>
        <v>637.5</v>
      </c>
      <c r="K29" s="18">
        <f t="shared" si="1"/>
        <v>0.2196078431372549</v>
      </c>
      <c r="L29" s="19">
        <f t="shared" si="2"/>
        <v>1639.2857142857142</v>
      </c>
      <c r="M29" s="19">
        <v>160</v>
      </c>
      <c r="N29" s="21">
        <f t="shared" si="3"/>
        <v>3.5625</v>
      </c>
      <c r="O29" s="21">
        <f t="shared" si="4"/>
        <v>0.890625</v>
      </c>
    </row>
    <row r="30" spans="1:15" x14ac:dyDescent="0.2">
      <c r="A30" s="8">
        <v>29</v>
      </c>
      <c r="B30" s="2">
        <v>329865147</v>
      </c>
      <c r="C30" s="2" t="s">
        <v>36</v>
      </c>
      <c r="D30" s="7">
        <v>45839</v>
      </c>
      <c r="E30" s="7">
        <v>45930</v>
      </c>
      <c r="F30" s="16">
        <f>'Q2-25'!I30</f>
        <v>805</v>
      </c>
      <c r="G30" s="16">
        <v>1478</v>
      </c>
      <c r="H30" s="16">
        <v>760</v>
      </c>
      <c r="I30" s="16">
        <f t="shared" si="5"/>
        <v>1523</v>
      </c>
      <c r="J30" s="17">
        <f t="shared" si="0"/>
        <v>1164</v>
      </c>
      <c r="K30" s="18">
        <f t="shared" si="1"/>
        <v>0.65292096219931273</v>
      </c>
      <c r="L30" s="19">
        <f t="shared" si="2"/>
        <v>551.36842105263156</v>
      </c>
      <c r="M30" s="19">
        <v>740</v>
      </c>
      <c r="N30" s="21">
        <f t="shared" si="3"/>
        <v>2.0581081081081081</v>
      </c>
      <c r="O30" s="21">
        <f t="shared" si="4"/>
        <v>0.51452702702702702</v>
      </c>
    </row>
    <row r="31" spans="1:15" x14ac:dyDescent="0.2">
      <c r="A31" s="8">
        <v>30</v>
      </c>
      <c r="B31" s="2">
        <v>659832741</v>
      </c>
      <c r="C31" s="2" t="s">
        <v>37</v>
      </c>
      <c r="D31" s="7">
        <v>45839</v>
      </c>
      <c r="E31" s="7">
        <v>45930</v>
      </c>
      <c r="F31" s="16">
        <f>'Q2-25'!I31</f>
        <v>948</v>
      </c>
      <c r="G31" s="16">
        <v>1156</v>
      </c>
      <c r="H31" s="16">
        <v>504</v>
      </c>
      <c r="I31" s="16">
        <f t="shared" si="5"/>
        <v>1600</v>
      </c>
      <c r="J31" s="17">
        <f t="shared" si="0"/>
        <v>1274</v>
      </c>
      <c r="K31" s="18">
        <f t="shared" si="1"/>
        <v>0.39560439560439559</v>
      </c>
      <c r="L31" s="19">
        <f t="shared" si="2"/>
        <v>910</v>
      </c>
      <c r="M31" s="19">
        <v>560</v>
      </c>
      <c r="N31" s="21">
        <f t="shared" si="3"/>
        <v>2.8571428571428572</v>
      </c>
      <c r="O31" s="21">
        <f t="shared" si="4"/>
        <v>0.7142857142857143</v>
      </c>
    </row>
    <row r="32" spans="1:15" x14ac:dyDescent="0.2">
      <c r="A32" s="8">
        <v>31</v>
      </c>
      <c r="B32" s="2">
        <v>201478963</v>
      </c>
      <c r="C32" s="2" t="s">
        <v>38</v>
      </c>
      <c r="D32" s="7">
        <v>45839</v>
      </c>
      <c r="E32" s="7">
        <v>45930</v>
      </c>
      <c r="F32" s="16">
        <f>'Q2-25'!I32</f>
        <v>682</v>
      </c>
      <c r="G32" s="16">
        <v>504</v>
      </c>
      <c r="H32" s="16">
        <v>450</v>
      </c>
      <c r="I32" s="16">
        <f t="shared" si="5"/>
        <v>736</v>
      </c>
      <c r="J32" s="17">
        <f t="shared" si="0"/>
        <v>709</v>
      </c>
      <c r="K32" s="18">
        <f t="shared" si="1"/>
        <v>0.63469675599435826</v>
      </c>
      <c r="L32" s="19">
        <f t="shared" si="2"/>
        <v>567.20000000000005</v>
      </c>
      <c r="M32" s="19">
        <v>430</v>
      </c>
      <c r="N32" s="21">
        <f t="shared" si="3"/>
        <v>1.7116279069767442</v>
      </c>
      <c r="O32" s="21">
        <f t="shared" si="4"/>
        <v>0.42790697674418604</v>
      </c>
    </row>
    <row r="33" spans="1:15" x14ac:dyDescent="0.2">
      <c r="A33" s="8">
        <v>32</v>
      </c>
      <c r="B33" s="2">
        <v>369874125</v>
      </c>
      <c r="C33" s="2" t="s">
        <v>39</v>
      </c>
      <c r="D33" s="7">
        <v>45839</v>
      </c>
      <c r="E33" s="7">
        <v>45930</v>
      </c>
      <c r="F33" s="16">
        <f>'Q2-25'!I33</f>
        <v>570</v>
      </c>
      <c r="G33" s="16">
        <v>300</v>
      </c>
      <c r="H33" s="16">
        <v>370</v>
      </c>
      <c r="I33" s="16">
        <f t="shared" si="5"/>
        <v>500</v>
      </c>
      <c r="J33" s="17">
        <f t="shared" si="0"/>
        <v>535</v>
      </c>
      <c r="K33" s="18">
        <f t="shared" si="1"/>
        <v>0.69158878504672894</v>
      </c>
      <c r="L33" s="19">
        <f t="shared" si="2"/>
        <v>520.54054054054052</v>
      </c>
      <c r="M33" s="19">
        <v>330</v>
      </c>
      <c r="N33" s="21">
        <f t="shared" si="3"/>
        <v>1.5151515151515151</v>
      </c>
      <c r="O33" s="21">
        <f t="shared" si="4"/>
        <v>0.37878787878787878</v>
      </c>
    </row>
    <row r="34" spans="1:15" x14ac:dyDescent="0.2">
      <c r="A34" s="8">
        <v>33</v>
      </c>
      <c r="B34" s="2">
        <v>698753010</v>
      </c>
      <c r="C34" s="2" t="s">
        <v>21</v>
      </c>
      <c r="D34" s="7">
        <v>45839</v>
      </c>
      <c r="E34" s="7">
        <v>45930</v>
      </c>
      <c r="F34" s="16">
        <f>'Q2-25'!I34</f>
        <v>1279</v>
      </c>
      <c r="G34" s="16">
        <v>457</v>
      </c>
      <c r="H34" s="16">
        <v>490</v>
      </c>
      <c r="I34" s="16">
        <f t="shared" si="5"/>
        <v>1246</v>
      </c>
      <c r="J34" s="17">
        <f t="shared" si="0"/>
        <v>1262.5</v>
      </c>
      <c r="K34" s="18">
        <f t="shared" si="1"/>
        <v>0.38811881188118813</v>
      </c>
      <c r="L34" s="19">
        <f t="shared" si="2"/>
        <v>927.55102040816325</v>
      </c>
      <c r="M34" s="19">
        <v>425</v>
      </c>
      <c r="N34" s="21">
        <f t="shared" si="3"/>
        <v>2.9317647058823528</v>
      </c>
      <c r="O34" s="21">
        <f t="shared" si="4"/>
        <v>0.73294117647058821</v>
      </c>
    </row>
    <row r="35" spans="1:15" x14ac:dyDescent="0.2">
      <c r="A35" s="8">
        <v>34</v>
      </c>
      <c r="B35" s="2">
        <v>794613528</v>
      </c>
      <c r="C35" s="2" t="s">
        <v>40</v>
      </c>
      <c r="D35" s="7">
        <v>45839</v>
      </c>
      <c r="E35" s="7">
        <v>45930</v>
      </c>
      <c r="F35" s="16">
        <f>'Q2-25'!I35</f>
        <v>346</v>
      </c>
      <c r="G35" s="16">
        <v>147</v>
      </c>
      <c r="H35" s="16">
        <v>197</v>
      </c>
      <c r="I35" s="16">
        <f t="shared" si="5"/>
        <v>296</v>
      </c>
      <c r="J35" s="17">
        <f t="shared" si="0"/>
        <v>321</v>
      </c>
      <c r="K35" s="18">
        <f t="shared" si="1"/>
        <v>0.61370716510903423</v>
      </c>
      <c r="L35" s="19">
        <f t="shared" si="2"/>
        <v>586.59898477157367</v>
      </c>
      <c r="M35" s="19">
        <v>120</v>
      </c>
      <c r="N35" s="21">
        <f t="shared" si="3"/>
        <v>2.4666666666666668</v>
      </c>
      <c r="O35" s="21">
        <f t="shared" si="4"/>
        <v>0.6166666666666667</v>
      </c>
    </row>
    <row r="36" spans="1:15" x14ac:dyDescent="0.2">
      <c r="A36" s="8">
        <v>35</v>
      </c>
      <c r="B36" s="2">
        <v>286314820</v>
      </c>
      <c r="C36" s="2" t="s">
        <v>41</v>
      </c>
      <c r="D36" s="7">
        <v>45839</v>
      </c>
      <c r="E36" s="7">
        <v>45930</v>
      </c>
      <c r="F36" s="16">
        <f>'Q2-25'!I36</f>
        <v>700</v>
      </c>
      <c r="G36" s="16">
        <v>103</v>
      </c>
      <c r="H36" s="16">
        <v>85</v>
      </c>
      <c r="I36" s="16">
        <f t="shared" si="5"/>
        <v>718</v>
      </c>
      <c r="J36" s="17">
        <f t="shared" si="0"/>
        <v>709</v>
      </c>
      <c r="K36" s="18">
        <f t="shared" si="1"/>
        <v>0.11988716502115655</v>
      </c>
      <c r="L36" s="19">
        <f t="shared" si="2"/>
        <v>3002.8235294117649</v>
      </c>
      <c r="M36" s="19">
        <v>100</v>
      </c>
      <c r="N36" s="21">
        <f t="shared" si="3"/>
        <v>7.18</v>
      </c>
      <c r="O36" s="21">
        <f t="shared" si="4"/>
        <v>1.7949999999999999</v>
      </c>
    </row>
    <row r="37" spans="1:15" x14ac:dyDescent="0.2">
      <c r="A37" s="8">
        <v>36</v>
      </c>
      <c r="B37" s="2">
        <v>333665478</v>
      </c>
      <c r="C37" s="2" t="s">
        <v>42</v>
      </c>
      <c r="D37" s="7">
        <v>45839</v>
      </c>
      <c r="E37" s="7">
        <v>45930</v>
      </c>
      <c r="F37" s="16">
        <f>'Q2-25'!I37</f>
        <v>1203</v>
      </c>
      <c r="G37" s="16">
        <v>42</v>
      </c>
      <c r="H37" s="16">
        <v>25</v>
      </c>
      <c r="I37" s="16">
        <f t="shared" si="5"/>
        <v>1220</v>
      </c>
      <c r="J37" s="17">
        <f t="shared" si="0"/>
        <v>1211.5</v>
      </c>
      <c r="K37" s="18">
        <f t="shared" si="1"/>
        <v>2.0635575732562937E-2</v>
      </c>
      <c r="L37" s="19">
        <f t="shared" si="2"/>
        <v>17445.600000000002</v>
      </c>
      <c r="M37" s="19">
        <v>100</v>
      </c>
      <c r="N37" s="21">
        <f t="shared" si="3"/>
        <v>12.2</v>
      </c>
      <c r="O37" s="21">
        <f t="shared" si="4"/>
        <v>3.05</v>
      </c>
    </row>
    <row r="38" spans="1:15" x14ac:dyDescent="0.2">
      <c r="A38" s="8">
        <v>37</v>
      </c>
      <c r="B38" s="2">
        <v>995432017</v>
      </c>
      <c r="C38" s="2" t="s">
        <v>43</v>
      </c>
      <c r="D38" s="7">
        <v>45839</v>
      </c>
      <c r="E38" s="7">
        <v>45930</v>
      </c>
      <c r="F38" s="16">
        <f>'Q2-25'!I38</f>
        <v>2184</v>
      </c>
      <c r="G38" s="16">
        <v>280</v>
      </c>
      <c r="H38" s="16">
        <v>750</v>
      </c>
      <c r="I38" s="16">
        <f t="shared" si="5"/>
        <v>1714</v>
      </c>
      <c r="J38" s="17">
        <f t="shared" si="0"/>
        <v>1949</v>
      </c>
      <c r="K38" s="18">
        <f t="shared" si="1"/>
        <v>0.38481272447408926</v>
      </c>
      <c r="L38" s="19">
        <f t="shared" si="2"/>
        <v>935.52</v>
      </c>
      <c r="M38" s="19">
        <v>800</v>
      </c>
      <c r="N38" s="21">
        <f t="shared" si="3"/>
        <v>2.1425000000000001</v>
      </c>
      <c r="O38" s="21">
        <f t="shared" si="4"/>
        <v>0.53562500000000002</v>
      </c>
    </row>
    <row r="39" spans="1:15" x14ac:dyDescent="0.2">
      <c r="A39" s="8">
        <v>38</v>
      </c>
      <c r="B39" s="2">
        <v>783695210</v>
      </c>
      <c r="C39" s="2" t="s">
        <v>44</v>
      </c>
      <c r="D39" s="7">
        <v>45839</v>
      </c>
      <c r="E39" s="7">
        <v>45930</v>
      </c>
      <c r="F39" s="16">
        <f>'Q2-25'!I39</f>
        <v>1809</v>
      </c>
      <c r="G39" s="16">
        <v>786</v>
      </c>
      <c r="H39" s="16">
        <v>870</v>
      </c>
      <c r="I39" s="16">
        <f t="shared" si="5"/>
        <v>1725</v>
      </c>
      <c r="J39" s="17">
        <f t="shared" si="0"/>
        <v>1767</v>
      </c>
      <c r="K39" s="18">
        <f t="shared" si="1"/>
        <v>0.49235993208828521</v>
      </c>
      <c r="L39" s="19">
        <f t="shared" si="2"/>
        <v>731.17241379310349</v>
      </c>
      <c r="M39" s="19">
        <v>460</v>
      </c>
      <c r="N39" s="21">
        <f t="shared" si="3"/>
        <v>3.75</v>
      </c>
      <c r="O39" s="21">
        <f t="shared" si="4"/>
        <v>0.9375</v>
      </c>
    </row>
    <row r="40" spans="1:15" x14ac:dyDescent="0.2">
      <c r="A40" s="8">
        <v>39</v>
      </c>
      <c r="B40" s="2">
        <v>127869354</v>
      </c>
      <c r="C40" s="2" t="s">
        <v>45</v>
      </c>
      <c r="D40" s="7">
        <v>45839</v>
      </c>
      <c r="E40" s="7">
        <v>45930</v>
      </c>
      <c r="F40" s="16">
        <f>'Q2-25'!I40</f>
        <v>600</v>
      </c>
      <c r="G40" s="16">
        <v>56</v>
      </c>
      <c r="H40" s="16">
        <v>228</v>
      </c>
      <c r="I40" s="16">
        <f t="shared" si="5"/>
        <v>428</v>
      </c>
      <c r="J40" s="17">
        <f t="shared" si="0"/>
        <v>514</v>
      </c>
      <c r="K40" s="18">
        <f t="shared" si="1"/>
        <v>0.44357976653696496</v>
      </c>
      <c r="L40" s="19">
        <f t="shared" si="2"/>
        <v>811.57894736842104</v>
      </c>
      <c r="M40" s="19">
        <v>90</v>
      </c>
      <c r="N40" s="21">
        <f t="shared" si="3"/>
        <v>4.7555555555555555</v>
      </c>
      <c r="O40" s="21">
        <f t="shared" si="4"/>
        <v>1.1888888888888889</v>
      </c>
    </row>
    <row r="41" spans="1:15" x14ac:dyDescent="0.2">
      <c r="A41" s="8">
        <v>40</v>
      </c>
      <c r="B41" s="2">
        <v>410236987</v>
      </c>
      <c r="C41" s="2" t="s">
        <v>46</v>
      </c>
      <c r="D41" s="7">
        <v>45839</v>
      </c>
      <c r="E41" s="7">
        <v>45930</v>
      </c>
      <c r="F41" s="16">
        <f>'Q2-25'!I41</f>
        <v>761</v>
      </c>
      <c r="G41" s="16">
        <v>700</v>
      </c>
      <c r="H41" s="16">
        <v>598</v>
      </c>
      <c r="I41" s="16">
        <f t="shared" si="5"/>
        <v>863</v>
      </c>
      <c r="J41" s="17">
        <f t="shared" si="0"/>
        <v>812</v>
      </c>
      <c r="K41" s="18">
        <f t="shared" si="1"/>
        <v>0.73645320197044339</v>
      </c>
      <c r="L41" s="19">
        <f t="shared" si="2"/>
        <v>488.82943143812707</v>
      </c>
      <c r="M41" s="19">
        <v>610</v>
      </c>
      <c r="N41" s="21">
        <f t="shared" si="3"/>
        <v>1.4147540983606557</v>
      </c>
      <c r="O41" s="21">
        <f t="shared" si="4"/>
        <v>0.35368852459016392</v>
      </c>
    </row>
    <row r="42" spans="1:15" x14ac:dyDescent="0.2">
      <c r="A42" s="8">
        <v>41</v>
      </c>
      <c r="B42" s="2">
        <v>753159847</v>
      </c>
      <c r="C42" s="2" t="s">
        <v>47</v>
      </c>
      <c r="D42" s="7">
        <v>45839</v>
      </c>
      <c r="E42" s="7">
        <v>45930</v>
      </c>
      <c r="F42" s="16">
        <f>'Q2-25'!I42</f>
        <v>792</v>
      </c>
      <c r="G42" s="16">
        <v>410</v>
      </c>
      <c r="H42" s="16">
        <v>200</v>
      </c>
      <c r="I42" s="16">
        <f t="shared" si="5"/>
        <v>1002</v>
      </c>
      <c r="J42" s="17">
        <f t="shared" si="0"/>
        <v>897</v>
      </c>
      <c r="K42" s="18">
        <f t="shared" si="1"/>
        <v>0.2229654403567447</v>
      </c>
      <c r="L42" s="19">
        <f t="shared" si="2"/>
        <v>1614.6</v>
      </c>
      <c r="M42" s="19">
        <v>230</v>
      </c>
      <c r="N42" s="21">
        <f t="shared" si="3"/>
        <v>4.3565217391304349</v>
      </c>
      <c r="O42" s="21">
        <f t="shared" si="4"/>
        <v>1.0891304347826087</v>
      </c>
    </row>
    <row r="43" spans="1:15" x14ac:dyDescent="0.2">
      <c r="A43" s="8">
        <v>42</v>
      </c>
      <c r="B43" s="2">
        <v>789321456</v>
      </c>
      <c r="C43" s="2" t="s">
        <v>48</v>
      </c>
      <c r="D43" s="7">
        <v>45839</v>
      </c>
      <c r="E43" s="7">
        <v>45930</v>
      </c>
      <c r="F43" s="16">
        <f>'Q2-25'!I43</f>
        <v>2504</v>
      </c>
      <c r="G43" s="16">
        <v>1780</v>
      </c>
      <c r="H43" s="16">
        <v>1808</v>
      </c>
      <c r="I43" s="16">
        <f t="shared" si="5"/>
        <v>2476</v>
      </c>
      <c r="J43" s="17">
        <f t="shared" si="0"/>
        <v>2490</v>
      </c>
      <c r="K43" s="18">
        <f t="shared" si="1"/>
        <v>0.72610441767068268</v>
      </c>
      <c r="L43" s="19">
        <f t="shared" si="2"/>
        <v>495.79646017699116</v>
      </c>
      <c r="M43" s="19">
        <v>1520</v>
      </c>
      <c r="N43" s="21">
        <f t="shared" si="3"/>
        <v>1.6289473684210527</v>
      </c>
      <c r="O43" s="21">
        <f t="shared" si="4"/>
        <v>0.40723684210526317</v>
      </c>
    </row>
    <row r="44" spans="1:15" x14ac:dyDescent="0.2">
      <c r="A44" s="8">
        <v>43</v>
      </c>
      <c r="B44" s="2">
        <v>204587456</v>
      </c>
      <c r="C44" s="2" t="s">
        <v>49</v>
      </c>
      <c r="D44" s="7">
        <v>45839</v>
      </c>
      <c r="E44" s="7">
        <v>45930</v>
      </c>
      <c r="F44" s="16">
        <f>'Q2-25'!I44</f>
        <v>287</v>
      </c>
      <c r="G44" s="16">
        <v>52</v>
      </c>
      <c r="H44" s="16">
        <v>90</v>
      </c>
      <c r="I44" s="16">
        <f t="shared" si="5"/>
        <v>249</v>
      </c>
      <c r="J44" s="17">
        <f t="shared" si="0"/>
        <v>268</v>
      </c>
      <c r="K44" s="18">
        <f t="shared" si="1"/>
        <v>0.33582089552238809</v>
      </c>
      <c r="L44" s="19">
        <f t="shared" si="2"/>
        <v>1072</v>
      </c>
      <c r="M44" s="19">
        <v>40</v>
      </c>
      <c r="N44" s="21">
        <f t="shared" si="3"/>
        <v>6.2249999999999996</v>
      </c>
      <c r="O44" s="21">
        <f t="shared" si="4"/>
        <v>1.5562499999999999</v>
      </c>
    </row>
    <row r="45" spans="1:15" x14ac:dyDescent="0.2">
      <c r="A45" s="8">
        <v>44</v>
      </c>
      <c r="B45" s="2">
        <v>857674020</v>
      </c>
      <c r="C45" s="2" t="s">
        <v>50</v>
      </c>
      <c r="D45" s="7">
        <v>45839</v>
      </c>
      <c r="E45" s="7">
        <v>45930</v>
      </c>
      <c r="F45" s="16">
        <f>'Q2-25'!I45</f>
        <v>1901</v>
      </c>
      <c r="G45" s="16">
        <v>380</v>
      </c>
      <c r="H45" s="16">
        <v>500</v>
      </c>
      <c r="I45" s="16">
        <f t="shared" si="5"/>
        <v>1781</v>
      </c>
      <c r="J45" s="17">
        <f t="shared" si="0"/>
        <v>1841</v>
      </c>
      <c r="K45" s="18">
        <f t="shared" si="1"/>
        <v>0.27159152634437805</v>
      </c>
      <c r="L45" s="19">
        <f t="shared" si="2"/>
        <v>1325.52</v>
      </c>
      <c r="M45" s="19">
        <v>502</v>
      </c>
      <c r="N45" s="21">
        <f t="shared" si="3"/>
        <v>3.547808764940239</v>
      </c>
      <c r="O45" s="21">
        <f t="shared" si="4"/>
        <v>0.88695219123505975</v>
      </c>
    </row>
    <row r="46" spans="1:15" x14ac:dyDescent="0.2">
      <c r="A46" s="8">
        <v>45</v>
      </c>
      <c r="B46" s="2">
        <v>857674721</v>
      </c>
      <c r="C46" s="2" t="s">
        <v>51</v>
      </c>
      <c r="D46" s="7">
        <v>45839</v>
      </c>
      <c r="E46" s="7">
        <v>45930</v>
      </c>
      <c r="F46" s="16">
        <f>'Q2-25'!I46</f>
        <v>299</v>
      </c>
      <c r="G46" s="16">
        <v>634</v>
      </c>
      <c r="H46" s="16">
        <v>407</v>
      </c>
      <c r="I46" s="16">
        <f t="shared" si="5"/>
        <v>526</v>
      </c>
      <c r="J46" s="17">
        <f t="shared" si="0"/>
        <v>412.5</v>
      </c>
      <c r="K46" s="18">
        <f t="shared" si="1"/>
        <v>0.98666666666666669</v>
      </c>
      <c r="L46" s="19">
        <f t="shared" si="2"/>
        <v>364.86486486486484</v>
      </c>
      <c r="M46" s="19">
        <v>410</v>
      </c>
      <c r="N46" s="21">
        <f t="shared" si="3"/>
        <v>1.2829268292682927</v>
      </c>
      <c r="O46" s="21">
        <f t="shared" si="4"/>
        <v>0.32073170731707318</v>
      </c>
    </row>
    <row r="47" spans="1:15" x14ac:dyDescent="0.2">
      <c r="A47" s="8">
        <v>46</v>
      </c>
      <c r="B47" s="2">
        <v>986325784</v>
      </c>
      <c r="C47" s="2" t="s">
        <v>52</v>
      </c>
      <c r="D47" s="7">
        <v>45839</v>
      </c>
      <c r="E47" s="7">
        <v>45930</v>
      </c>
      <c r="F47" s="16">
        <f>'Q2-25'!I47</f>
        <v>795</v>
      </c>
      <c r="G47" s="16">
        <v>0</v>
      </c>
      <c r="H47" s="16">
        <v>135</v>
      </c>
      <c r="I47" s="16">
        <f t="shared" si="5"/>
        <v>660</v>
      </c>
      <c r="J47" s="17">
        <f t="shared" si="0"/>
        <v>727.5</v>
      </c>
      <c r="K47" s="18">
        <f t="shared" si="1"/>
        <v>0.18556701030927836</v>
      </c>
      <c r="L47" s="19">
        <f t="shared" si="2"/>
        <v>1940</v>
      </c>
      <c r="M47" s="19">
        <v>120</v>
      </c>
      <c r="N47" s="21">
        <f t="shared" si="3"/>
        <v>5.5</v>
      </c>
      <c r="O47" s="21">
        <f t="shared" si="4"/>
        <v>1.375</v>
      </c>
    </row>
  </sheetData>
  <autoFilter ref="A1:O1" xr:uid="{053AD7E3-C4F6-4C94-8019-64A064A96723}">
    <sortState xmlns:xlrd2="http://schemas.microsoft.com/office/spreadsheetml/2017/richdata2" ref="A2:O47">
      <sortCondition ref="A1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Artikel-Rohdaten</vt:lpstr>
      <vt:lpstr>Q4-24</vt:lpstr>
      <vt:lpstr>Q1-25</vt:lpstr>
      <vt:lpstr>Q2-25</vt:lpstr>
      <vt:lpstr>Q3-25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Weber, Paul, 2</cp:lastModifiedBy>
  <cp:revision>1</cp:revision>
  <dcterms:modified xsi:type="dcterms:W3CDTF">2026-01-16T10:27:05Z</dcterms:modified>
  <cp:category/>
</cp:coreProperties>
</file>