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sap-my.sharepoint.com/personal/david_lincourt_sap_com/Documents/Defense Solution/2021/AI/Explosives/"/>
    </mc:Choice>
  </mc:AlternateContent>
  <xr:revisionPtr revIDLastSave="0" documentId="8_{31B3D057-ACD4-48B3-B782-8844EC5B7AEC}" xr6:coauthVersionLast="47" xr6:coauthVersionMax="47" xr10:uidLastSave="{00000000-0000-0000-0000-000000000000}"/>
  <bookViews>
    <workbookView xWindow="3900" yWindow="2280" windowWidth="28040" windowHeight="17180" firstSheet="1" activeTab="1" xr2:uid="{FDE83414-ADDE-344D-86C6-203976D76AF4}"/>
  </bookViews>
  <sheets>
    <sheet name="Inventory" sheetId="1" r:id="rId1"/>
    <sheet name="HMSD" sheetId="3" r:id="rId2"/>
    <sheet name="SLOC" sheetId="7" r:id="rId3"/>
    <sheet name="HD" sheetId="5" r:id="rId4"/>
    <sheet name="CG" sheetId="4" r:id="rId5"/>
  </sheets>
  <definedNames>
    <definedName name="_xlnm._FilterDatabase" localSheetId="1" hidden="1">HMSD!$A$1:$H$39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I3" i="1" s="1"/>
  <c r="C4" i="1"/>
  <c r="D4" i="1"/>
  <c r="E4" i="1"/>
  <c r="I4" i="1" s="1"/>
  <c r="C5" i="1"/>
  <c r="D5" i="1"/>
  <c r="E5" i="1"/>
  <c r="I5" i="1" s="1"/>
  <c r="C6" i="1"/>
  <c r="D6" i="1"/>
  <c r="E6" i="1"/>
  <c r="I6" i="1" s="1"/>
  <c r="C7" i="1"/>
  <c r="D7" i="1"/>
  <c r="E7" i="1"/>
  <c r="I7" i="1" s="1"/>
  <c r="C8" i="1"/>
  <c r="D8" i="1"/>
  <c r="E8" i="1"/>
  <c r="I8" i="1" s="1"/>
  <c r="C9" i="1"/>
  <c r="D9" i="1"/>
  <c r="E9" i="1"/>
  <c r="I9" i="1" s="1"/>
  <c r="C10" i="1"/>
  <c r="D10" i="1"/>
  <c r="E10" i="1"/>
  <c r="I10" i="1" s="1"/>
  <c r="C11" i="1"/>
  <c r="D11" i="1"/>
  <c r="E11" i="1"/>
  <c r="I11" i="1" s="1"/>
  <c r="C12" i="1"/>
  <c r="D12" i="1"/>
  <c r="E12" i="1"/>
  <c r="I12" i="1" s="1"/>
  <c r="C13" i="1"/>
  <c r="D13" i="1"/>
  <c r="E13" i="1"/>
  <c r="I13" i="1" s="1"/>
  <c r="C14" i="1"/>
  <c r="D14" i="1"/>
  <c r="E14" i="1"/>
  <c r="I14" i="1" s="1"/>
  <c r="C15" i="1"/>
  <c r="D15" i="1"/>
  <c r="E15" i="1"/>
  <c r="I15" i="1" s="1"/>
  <c r="C16" i="1"/>
  <c r="D16" i="1"/>
  <c r="E16" i="1"/>
  <c r="I16" i="1" s="1"/>
  <c r="C17" i="1"/>
  <c r="D17" i="1"/>
  <c r="E17" i="1"/>
  <c r="I17" i="1" s="1"/>
  <c r="C18" i="1"/>
  <c r="D18" i="1"/>
  <c r="E18" i="1"/>
  <c r="I18" i="1" s="1"/>
  <c r="C19" i="1"/>
  <c r="D19" i="1"/>
  <c r="E19" i="1"/>
  <c r="I19" i="1" s="1"/>
  <c r="C20" i="1"/>
  <c r="D20" i="1"/>
  <c r="E20" i="1"/>
  <c r="I20" i="1" s="1"/>
  <c r="C21" i="1"/>
  <c r="D21" i="1"/>
  <c r="E21" i="1"/>
  <c r="I21" i="1" s="1"/>
  <c r="C22" i="1"/>
  <c r="D22" i="1"/>
  <c r="E22" i="1"/>
  <c r="I22" i="1" s="1"/>
  <c r="C23" i="1"/>
  <c r="D23" i="1"/>
  <c r="E23" i="1"/>
  <c r="I23" i="1" s="1"/>
  <c r="C24" i="1"/>
  <c r="D24" i="1"/>
  <c r="E24" i="1"/>
  <c r="I24" i="1" s="1"/>
  <c r="C25" i="1"/>
  <c r="D25" i="1"/>
  <c r="E25" i="1"/>
  <c r="I25" i="1" s="1"/>
  <c r="C26" i="1"/>
  <c r="D26" i="1"/>
  <c r="E26" i="1"/>
  <c r="I26" i="1" s="1"/>
  <c r="C27" i="1"/>
  <c r="D27" i="1"/>
  <c r="E27" i="1"/>
  <c r="I27" i="1" s="1"/>
  <c r="C28" i="1"/>
  <c r="D28" i="1"/>
  <c r="E28" i="1"/>
  <c r="I28" i="1" s="1"/>
  <c r="C29" i="1"/>
  <c r="D29" i="1"/>
  <c r="E29" i="1"/>
  <c r="I29" i="1" s="1"/>
  <c r="C30" i="1"/>
  <c r="D30" i="1"/>
  <c r="E30" i="1"/>
  <c r="I30" i="1" s="1"/>
  <c r="C31" i="1"/>
  <c r="D31" i="1"/>
  <c r="E31" i="1"/>
  <c r="I31" i="1" s="1"/>
  <c r="C32" i="1"/>
  <c r="D32" i="1"/>
  <c r="E32" i="1"/>
  <c r="I32" i="1" s="1"/>
  <c r="C33" i="1"/>
  <c r="D33" i="1"/>
  <c r="E33" i="1"/>
  <c r="I33" i="1" s="1"/>
  <c r="C34" i="1"/>
  <c r="D34" i="1"/>
  <c r="E34" i="1"/>
  <c r="I34" i="1" s="1"/>
  <c r="C35" i="1"/>
  <c r="D35" i="1"/>
  <c r="E35" i="1"/>
  <c r="I35" i="1" s="1"/>
  <c r="C36" i="1"/>
  <c r="D36" i="1"/>
  <c r="E36" i="1"/>
  <c r="I36" i="1" s="1"/>
  <c r="C37" i="1"/>
  <c r="D37" i="1"/>
  <c r="E37" i="1"/>
  <c r="I37" i="1" s="1"/>
  <c r="C38" i="1"/>
  <c r="D38" i="1"/>
  <c r="E38" i="1"/>
  <c r="I38" i="1" s="1"/>
  <c r="C39" i="1"/>
  <c r="D39" i="1"/>
  <c r="E39" i="1"/>
  <c r="I39" i="1" s="1"/>
  <c r="C40" i="1"/>
  <c r="D40" i="1"/>
  <c r="E40" i="1"/>
  <c r="I40" i="1" s="1"/>
  <c r="C41" i="1"/>
  <c r="D41" i="1"/>
  <c r="E41" i="1"/>
  <c r="I41" i="1" s="1"/>
  <c r="C42" i="1"/>
  <c r="D42" i="1"/>
  <c r="E42" i="1"/>
  <c r="I42" i="1" s="1"/>
  <c r="C43" i="1"/>
  <c r="D43" i="1"/>
  <c r="E43" i="1"/>
  <c r="I43" i="1" s="1"/>
  <c r="C44" i="1"/>
  <c r="D44" i="1"/>
  <c r="E44" i="1"/>
  <c r="I44" i="1" s="1"/>
  <c r="C45" i="1"/>
  <c r="D45" i="1"/>
  <c r="E45" i="1"/>
  <c r="I45" i="1" s="1"/>
  <c r="C46" i="1"/>
  <c r="D46" i="1"/>
  <c r="E46" i="1"/>
  <c r="I46" i="1" s="1"/>
  <c r="C47" i="1"/>
  <c r="D47" i="1"/>
  <c r="E47" i="1"/>
  <c r="I47" i="1" s="1"/>
  <c r="C48" i="1"/>
  <c r="D48" i="1"/>
  <c r="E48" i="1"/>
  <c r="I48" i="1" s="1"/>
  <c r="C49" i="1"/>
  <c r="D49" i="1"/>
  <c r="E49" i="1"/>
  <c r="I49" i="1" s="1"/>
  <c r="C50" i="1"/>
  <c r="D50" i="1"/>
  <c r="E50" i="1"/>
  <c r="I50" i="1" s="1"/>
  <c r="C51" i="1"/>
  <c r="D51" i="1"/>
  <c r="E51" i="1"/>
  <c r="I51" i="1" s="1"/>
  <c r="C52" i="1"/>
  <c r="D52" i="1"/>
  <c r="E52" i="1"/>
  <c r="I52" i="1" s="1"/>
  <c r="C53" i="1"/>
  <c r="D53" i="1"/>
  <c r="E53" i="1"/>
  <c r="I53" i="1" s="1"/>
  <c r="C54" i="1"/>
  <c r="D54" i="1"/>
  <c r="E54" i="1"/>
  <c r="I54" i="1" s="1"/>
  <c r="C55" i="1"/>
  <c r="D55" i="1"/>
  <c r="E55" i="1"/>
  <c r="I55" i="1" s="1"/>
  <c r="C56" i="1"/>
  <c r="D56" i="1"/>
  <c r="E56" i="1"/>
  <c r="I56" i="1" s="1"/>
  <c r="C57" i="1"/>
  <c r="D57" i="1"/>
  <c r="E57" i="1"/>
  <c r="I57" i="1" s="1"/>
  <c r="C58" i="1"/>
  <c r="D58" i="1"/>
  <c r="E58" i="1"/>
  <c r="I58" i="1" s="1"/>
  <c r="C59" i="1"/>
  <c r="D59" i="1"/>
  <c r="E59" i="1"/>
  <c r="I59" i="1" s="1"/>
  <c r="C60" i="1"/>
  <c r="D60" i="1"/>
  <c r="E60" i="1"/>
  <c r="I60" i="1" s="1"/>
  <c r="C61" i="1"/>
  <c r="D61" i="1"/>
  <c r="E61" i="1"/>
  <c r="I61" i="1" s="1"/>
  <c r="C62" i="1"/>
  <c r="D62" i="1"/>
  <c r="E62" i="1"/>
  <c r="I62" i="1" s="1"/>
  <c r="C63" i="1"/>
  <c r="D63" i="1"/>
  <c r="E63" i="1"/>
  <c r="I63" i="1" s="1"/>
  <c r="C64" i="1"/>
  <c r="D64" i="1"/>
  <c r="E64" i="1"/>
  <c r="I64" i="1" s="1"/>
  <c r="C65" i="1"/>
  <c r="D65" i="1"/>
  <c r="E65" i="1"/>
  <c r="I65" i="1" s="1"/>
  <c r="C66" i="1"/>
  <c r="D66" i="1"/>
  <c r="E66" i="1"/>
  <c r="I66" i="1" s="1"/>
  <c r="C67" i="1"/>
  <c r="D67" i="1"/>
  <c r="E67" i="1"/>
  <c r="I67" i="1" s="1"/>
  <c r="C68" i="1"/>
  <c r="D68" i="1"/>
  <c r="E68" i="1"/>
  <c r="I68" i="1" s="1"/>
  <c r="C69" i="1"/>
  <c r="D69" i="1"/>
  <c r="E69" i="1"/>
  <c r="I69" i="1" s="1"/>
  <c r="C70" i="1"/>
  <c r="D70" i="1"/>
  <c r="E70" i="1"/>
  <c r="I70" i="1" s="1"/>
  <c r="C71" i="1"/>
  <c r="D71" i="1"/>
  <c r="E71" i="1"/>
  <c r="I71" i="1" s="1"/>
  <c r="E2" i="1"/>
  <c r="I2" i="1" s="1"/>
  <c r="D2" i="1"/>
  <c r="C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2" i="1"/>
</calcChain>
</file>

<file path=xl/sharedStrings.xml><?xml version="1.0" encoding="utf-8"?>
<sst xmlns="http://schemas.openxmlformats.org/spreadsheetml/2006/main" count="342" uniqueCount="172">
  <si>
    <t>Material</t>
  </si>
  <si>
    <t>Description</t>
  </si>
  <si>
    <t>Hazard Division</t>
  </si>
  <si>
    <t>CG</t>
  </si>
  <si>
    <t>NEW (EA - KG)</t>
  </si>
  <si>
    <t>Storage Location</t>
  </si>
  <si>
    <t>SLOC Desc</t>
  </si>
  <si>
    <t>Quantity</t>
  </si>
  <si>
    <t>NEW (Total - KG)</t>
  </si>
  <si>
    <t>199A</t>
  </si>
  <si>
    <t>199B</t>
  </si>
  <si>
    <t>199C</t>
  </si>
  <si>
    <t>199D</t>
  </si>
  <si>
    <t>199E</t>
  </si>
  <si>
    <t xml:space="preserve">Internchangability Code </t>
  </si>
  <si>
    <t>FSC</t>
  </si>
  <si>
    <t>Material Description</t>
  </si>
  <si>
    <t>HD</t>
  </si>
  <si>
    <t>NEW (KG)</t>
  </si>
  <si>
    <t>0364</t>
  </si>
  <si>
    <t>POINT DETONATING FUZE</t>
  </si>
  <si>
    <t>1.2</t>
  </si>
  <si>
    <t>B</t>
  </si>
  <si>
    <t>0381</t>
  </si>
  <si>
    <t>CARTRIDGES, POWER DEVICE</t>
  </si>
  <si>
    <t>C</t>
  </si>
  <si>
    <t>AA02</t>
  </si>
  <si>
    <t>CTG, 5.56MM 4 AP M995/1 TR M856</t>
  </si>
  <si>
    <t>1.4</t>
  </si>
  <si>
    <t>S</t>
  </si>
  <si>
    <t>AA03</t>
  </si>
  <si>
    <t>CTG, 7.62MM AP M993 SNGL RD</t>
  </si>
  <si>
    <t>AA05</t>
  </si>
  <si>
    <t>CTG, CAL .50 1 API MK211-0/1 AP M2/1 API-T M20</t>
  </si>
  <si>
    <t>1.2.2</t>
  </si>
  <si>
    <t>G</t>
  </si>
  <si>
    <t>AA22</t>
  </si>
  <si>
    <t>CTG, 20MM SAPHEI PGU-28A/B SNGL RD</t>
  </si>
  <si>
    <t>E</t>
  </si>
  <si>
    <t>AB30</t>
  </si>
  <si>
    <t>CTG, CAL .50 4 API M8/1 API-DT MK257-0</t>
  </si>
  <si>
    <t>AB51</t>
  </si>
  <si>
    <t>CTG, 30MM X 173MM, APFSDS-T, MK258 MOD 1</t>
  </si>
  <si>
    <t>AY28</t>
  </si>
  <si>
    <t>CTG, 105MM CLEARING (1315)</t>
  </si>
  <si>
    <t>1.3</t>
  </si>
  <si>
    <t>B506</t>
  </si>
  <si>
    <t>CTG, 40MM RED SMK M713 SNGL RD</t>
  </si>
  <si>
    <t>L</t>
  </si>
  <si>
    <t>BA14</t>
  </si>
  <si>
    <t>CTG, 60MM WP SMOKE M722A1</t>
  </si>
  <si>
    <t>H</t>
  </si>
  <si>
    <t>C454</t>
  </si>
  <si>
    <t>CTG, 105MM SMK WP M60A2 SER</t>
  </si>
  <si>
    <t>F</t>
  </si>
  <si>
    <t>C624</t>
  </si>
  <si>
    <t>CTG MORTAR, 120MM SMK WP XM/M929</t>
  </si>
  <si>
    <t>C651</t>
  </si>
  <si>
    <t>CTG, 106MM HEP-T M346/A1</t>
  </si>
  <si>
    <t>1.1</t>
  </si>
  <si>
    <t>C706</t>
  </si>
  <si>
    <t>CTG. 4.2 IN ILLUM M335 SERIES</t>
  </si>
  <si>
    <t>C799</t>
  </si>
  <si>
    <t>CTG. 4.2 IN ILLUM M999 SERIES</t>
  </si>
  <si>
    <t>CA30</t>
  </si>
  <si>
    <t>CTG &amp; LAUNCHER, 84MM CS RS</t>
  </si>
  <si>
    <t>CA49</t>
  </si>
  <si>
    <t>CTG MORTAR, 120MM SMOKE WP M1103 EFSS</t>
  </si>
  <si>
    <t>1.2.1</t>
  </si>
  <si>
    <t>D484</t>
  </si>
  <si>
    <t>CHG, PROP 155MM M19</t>
  </si>
  <si>
    <t>K</t>
  </si>
  <si>
    <t>DA18</t>
  </si>
  <si>
    <t>BURSTER, PROJ M54A1</t>
  </si>
  <si>
    <t>D</t>
  </si>
  <si>
    <t>EB95</t>
  </si>
  <si>
    <t>FUZE, FMU-152A/B JPF</t>
  </si>
  <si>
    <t>EC53</t>
  </si>
  <si>
    <t>BOMB, GUIDED GP GBU-39/B SDB</t>
  </si>
  <si>
    <t>1.2.3</t>
  </si>
  <si>
    <t>F677</t>
  </si>
  <si>
    <t>FUZE, BOMB NOSE &amp; TAIL AN-M173A1</t>
  </si>
  <si>
    <t>G197</t>
  </si>
  <si>
    <t>IGNITER, BOMB WP M23</t>
  </si>
  <si>
    <t>GW04</t>
  </si>
  <si>
    <t>INITIATOR, MK13-0 F/FIREBOMB (1325)</t>
  </si>
  <si>
    <t>GW67</t>
  </si>
  <si>
    <t>CTG ASSY, F/LT WT EARTH ANCHOR (1377)</t>
  </si>
  <si>
    <t>GW96</t>
  </si>
  <si>
    <t>PROPULSION ASSY F/5.125 IN MORTAR CHAFF (1320)</t>
  </si>
  <si>
    <t>H110</t>
  </si>
  <si>
    <t xml:space="preserve">RCKT, 66MM INC TPA XM/M74 </t>
  </si>
  <si>
    <t>H119</t>
  </si>
  <si>
    <t>RCKT, 66MM INC TPA YN</t>
  </si>
  <si>
    <t>HA09</t>
  </si>
  <si>
    <t>RCKT, 2.75 IN HE WHD M229 MTR MK66-4</t>
  </si>
  <si>
    <t>HW57</t>
  </si>
  <si>
    <t>GM, EXER BTM-84F-1 HARPOON (1410)</t>
  </si>
  <si>
    <t>J</t>
  </si>
  <si>
    <t>L135</t>
  </si>
  <si>
    <t>CTG, PHOTOFLASH M112/A1 1 SEC DELAY</t>
  </si>
  <si>
    <t>L565</t>
  </si>
  <si>
    <t>MARKER, LOCATION MARINE MK2-0</t>
  </si>
  <si>
    <t>L630</t>
  </si>
  <si>
    <t>SIMULATOR, PROJ AIRBURST LIQUID (SPAL) XM11</t>
  </si>
  <si>
    <t>MD99</t>
  </si>
  <si>
    <t>ROCKET MOTOR ASSEMBLY (LIQUID FUEL)</t>
  </si>
  <si>
    <t>ML21</t>
  </si>
  <si>
    <t>FIRING DEVICE, DEMO TENSION-RELEASE MK46-0</t>
  </si>
  <si>
    <t>ML93</t>
  </si>
  <si>
    <t>ARMOR TILE</t>
  </si>
  <si>
    <t>MW29</t>
  </si>
  <si>
    <t>DELAY ELEMENT, DET MK19-0 (1375)</t>
  </si>
  <si>
    <t>MW37</t>
  </si>
  <si>
    <t>DRIVER, POWDER ACTUATED MK22-0 (1375)</t>
  </si>
  <si>
    <t>N531</t>
  </si>
  <si>
    <t>PRIMER, PERC M1B1A2</t>
  </si>
  <si>
    <t>NA01</t>
  </si>
  <si>
    <t>FUZE, PD DELAY FMU-153/B (1390)</t>
  </si>
  <si>
    <t>PA77</t>
  </si>
  <si>
    <t>GM, I-A XM/M115 ROLAND</t>
  </si>
  <si>
    <t>PA80</t>
  </si>
  <si>
    <t>GM, SURF ATTACK RGM-84A-1 HARPOON</t>
  </si>
  <si>
    <t>PFB7</t>
  </si>
  <si>
    <t>GM, SURF ATTACK AGM-154/A JSOW</t>
  </si>
  <si>
    <t>PFE5</t>
  </si>
  <si>
    <t>GM, SURF ATTACK AGM-84H-1 SLAM ER</t>
  </si>
  <si>
    <t>V147</t>
  </si>
  <si>
    <t>IGNITER, RCKT MTR MK257-1 (37)</t>
  </si>
  <si>
    <t>VH10</t>
  </si>
  <si>
    <t>RCKT MTR, DUAL THRUST MK104-3 ALUMINUM CNTR (37)</t>
  </si>
  <si>
    <t>WF47</t>
  </si>
  <si>
    <t>GM, AGM-158A JASSM</t>
  </si>
  <si>
    <t>SLOC</t>
  </si>
  <si>
    <t>SLOC Description</t>
  </si>
  <si>
    <t>Location A</t>
  </si>
  <si>
    <t>Location B</t>
  </si>
  <si>
    <t>Location C</t>
  </si>
  <si>
    <t>Location D</t>
  </si>
  <si>
    <t>Location E</t>
  </si>
  <si>
    <t>HD DESCRIPTION</t>
  </si>
  <si>
    <t>Ammunition that has a mass explosion hazard.</t>
  </si>
  <si>
    <t>Ammunition that has a projection hazard not of type 1.1</t>
  </si>
  <si>
    <t>More hazardous items of HD 1.2 large fragments &amp; large range</t>
  </si>
  <si>
    <t>More hazardous items of HD 1.2 small fragments &amp; small range</t>
  </si>
  <si>
    <t>Explosion reaction during sympathetic reaction testing</t>
  </si>
  <si>
    <t>Ammunition that has a fire haz and either a minor blast haz</t>
  </si>
  <si>
    <t>1.3.1</t>
  </si>
  <si>
    <t>Exp w min blast hazard or a minor projection hazard 1.3C</t>
  </si>
  <si>
    <t>1.3.2</t>
  </si>
  <si>
    <t>Minor blast hazard or a minor projection hazard no mass exp</t>
  </si>
  <si>
    <t>Ammunition that presents no significant hazard.</t>
  </si>
  <si>
    <t>1.5</t>
  </si>
  <si>
    <t>Very insensitive substances, which have a mass explosion haz</t>
  </si>
  <si>
    <t>1.6</t>
  </si>
  <si>
    <t>Extremely insensitive articles which do not have a mass expl</t>
  </si>
  <si>
    <t>CG DESCRIPTION</t>
  </si>
  <si>
    <t>A</t>
  </si>
  <si>
    <t>Primary explosive substance.</t>
  </si>
  <si>
    <t>Articles containing a primary explosive substance</t>
  </si>
  <si>
    <t>Propellant explosive substance</t>
  </si>
  <si>
    <t>Secondary detonating article</t>
  </si>
  <si>
    <t>secondary detonating exp w/o its own means of initiation</t>
  </si>
  <si>
    <t>secondary detonating exp with its own means of initiation</t>
  </si>
  <si>
    <t>Pyrotechnic substance</t>
  </si>
  <si>
    <t>Article containing both explosive substance and white ph</t>
  </si>
  <si>
    <t>Ammunition containing both explosives and flammable liquids</t>
  </si>
  <si>
    <t>Articles containing both an explosive substance and a toxic</t>
  </si>
  <si>
    <t>Explosive substance w special risk needing isolation</t>
  </si>
  <si>
    <t>N</t>
  </si>
  <si>
    <t>Hazard Division 1.6 ammunition containing only EIDS</t>
  </si>
  <si>
    <t>Substance w haz effects frm accidental functioning in packag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</si>
</sst>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applyAlignment="1">
      <alignment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04B9-0A0C-244B-BEA3-C097544A0332}">
  <dimension ref="A1:I71"/>
  <sheetViews>
    <sheetView zoomScale="150" workbookViewId="0">
      <selection activeCell="B51" sqref="B51"/>
    </sheetView>
  </sheetViews>
  <sheetFormatPr defaultColWidth="11" defaultRowHeight="15.95"/>
  <cols>
    <col min="1" max="1" width="16.625" customWidth="1"/>
    <col min="2" max="2" width="44" customWidth="1"/>
    <col min="3" max="3" width="18" customWidth="1"/>
    <col min="5" max="5" width="14" customWidth="1"/>
    <col min="6" max="6" width="18.625" customWidth="1"/>
    <col min="9" max="9" width="15.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885600034</v>
      </c>
      <c r="B2" t="str">
        <f>_xlfn.XLOOKUP(A2,HMSD!C$2:C$49,HMSD!D$2:D$49)</f>
        <v>POINT DETONATING FUZE</v>
      </c>
      <c r="C2" t="str">
        <f>_xlfn.XLOOKUP($A2,HMSD!$C$2:$C$49,HMSD!E$2:E$49)</f>
        <v>1.2</v>
      </c>
      <c r="D2" t="str">
        <f>_xlfn.XLOOKUP($A2,HMSD!$C$2:$C$49,HMSD!F$2:F$49)</f>
        <v>B</v>
      </c>
      <c r="E2">
        <f>_xlfn.XLOOKUP($A2,HMSD!$C$2:$C$49,HMSD!G$2:G$49)</f>
        <v>2.18E-2</v>
      </c>
      <c r="F2" t="s">
        <v>9</v>
      </c>
      <c r="G2" t="str">
        <f>_xlfn.XLOOKUP(Inventory!F2,SLOC!A$2:A$6,SLOC!B$2:B$6)</f>
        <v>Location A</v>
      </c>
      <c r="H2">
        <v>57</v>
      </c>
      <c r="I2">
        <f>E2*H2</f>
        <v>1.2425999999999999</v>
      </c>
    </row>
    <row r="3" spans="1:9">
      <c r="A3">
        <v>888093467</v>
      </c>
      <c r="B3" t="str">
        <f>_xlfn.XLOOKUP(A3,HMSD!C$2:C$49,HMSD!D$2:D$49)</f>
        <v>CTG, 5.56MM 4 AP M995/1 TR M856</v>
      </c>
      <c r="C3" t="str">
        <f>_xlfn.XLOOKUP($A3,HMSD!$C$2:$C$49,HMSD!E$2:E$49)</f>
        <v>1.4</v>
      </c>
      <c r="D3" t="str">
        <f>_xlfn.XLOOKUP($A3,HMSD!$C$2:$C$49,HMSD!F$2:F$49)</f>
        <v>S</v>
      </c>
      <c r="E3">
        <f>_xlfn.XLOOKUP($A3,HMSD!$C$2:$C$49,HMSD!G$2:G$49)</f>
        <v>2.0999999999999999E-3</v>
      </c>
      <c r="F3" t="s">
        <v>9</v>
      </c>
      <c r="G3" t="str">
        <f>_xlfn.XLOOKUP(Inventory!F3,SLOC!A$2:A$6,SLOC!B$2:B$6)</f>
        <v>Location A</v>
      </c>
      <c r="H3">
        <v>12</v>
      </c>
      <c r="I3">
        <f t="shared" ref="I3:I66" si="0">E3*H3</f>
        <v>2.52E-2</v>
      </c>
    </row>
    <row r="4" spans="1:9">
      <c r="A4">
        <v>886182049</v>
      </c>
      <c r="B4" t="str">
        <f>_xlfn.XLOOKUP(A4,HMSD!C$2:C$49,HMSD!D$2:D$49)</f>
        <v>CTG, 7.62MM AP M993 SNGL RD</v>
      </c>
      <c r="C4" t="str">
        <f>_xlfn.XLOOKUP($A4,HMSD!$C$2:$C$49,HMSD!E$2:E$49)</f>
        <v>1.4</v>
      </c>
      <c r="D4" t="str">
        <f>_xlfn.XLOOKUP($A4,HMSD!$C$2:$C$49,HMSD!F$2:F$49)</f>
        <v>C</v>
      </c>
      <c r="E4">
        <f>_xlfn.XLOOKUP($A4,HMSD!$C$2:$C$49,HMSD!G$2:G$49)</f>
        <v>2.8999999999999998E-3</v>
      </c>
      <c r="F4" t="s">
        <v>9</v>
      </c>
      <c r="G4" t="str">
        <f>_xlfn.XLOOKUP(Inventory!F4,SLOC!A$2:A$6,SLOC!B$2:B$6)</f>
        <v>Location A</v>
      </c>
      <c r="H4">
        <v>83</v>
      </c>
      <c r="I4">
        <f t="shared" si="0"/>
        <v>0.24069999999999997</v>
      </c>
    </row>
    <row r="5" spans="1:9">
      <c r="A5">
        <v>884708253</v>
      </c>
      <c r="B5" t="str">
        <f>_xlfn.XLOOKUP(A5,HMSD!C$2:C$49,HMSD!D$2:D$49)</f>
        <v>CTG, CAL .50 4 API M8/1 API-DT MK257-0</v>
      </c>
      <c r="C5" t="str">
        <f>_xlfn.XLOOKUP($A5,HMSD!$C$2:$C$49,HMSD!E$2:E$49)</f>
        <v>1.4</v>
      </c>
      <c r="D5" t="str">
        <f>_xlfn.XLOOKUP($A5,HMSD!$C$2:$C$49,HMSD!F$2:F$49)</f>
        <v>G</v>
      </c>
      <c r="E5">
        <f>_xlfn.XLOOKUP($A5,HMSD!$C$2:$C$49,HMSD!G$2:G$49)</f>
        <v>1.6400000000000001E-2</v>
      </c>
      <c r="F5" t="s">
        <v>9</v>
      </c>
      <c r="G5" t="str">
        <f>_xlfn.XLOOKUP(Inventory!F5,SLOC!A$2:A$6,SLOC!B$2:B$6)</f>
        <v>Location A</v>
      </c>
      <c r="H5">
        <v>29</v>
      </c>
      <c r="I5">
        <f t="shared" si="0"/>
        <v>0.47560000000000002</v>
      </c>
    </row>
    <row r="6" spans="1:9">
      <c r="A6">
        <v>880083529</v>
      </c>
      <c r="B6" t="str">
        <f>_xlfn.XLOOKUP(A6,HMSD!C$2:C$49,HMSD!D$2:D$49)</f>
        <v>CTG, 105MM CLEARING (1315)</v>
      </c>
      <c r="C6" t="str">
        <f>_xlfn.XLOOKUP($A6,HMSD!$C$2:$C$49,HMSD!E$2:E$49)</f>
        <v>1.3</v>
      </c>
      <c r="D6" t="str">
        <f>_xlfn.XLOOKUP($A6,HMSD!$C$2:$C$49,HMSD!F$2:F$49)</f>
        <v>C</v>
      </c>
      <c r="E6">
        <f>_xlfn.XLOOKUP($A6,HMSD!$C$2:$C$49,HMSD!G$2:G$49)</f>
        <v>1.3153999999999999</v>
      </c>
      <c r="F6" t="s">
        <v>9</v>
      </c>
      <c r="G6" t="str">
        <f>_xlfn.XLOOKUP(Inventory!F6,SLOC!A$2:A$6,SLOC!B$2:B$6)</f>
        <v>Location A</v>
      </c>
      <c r="H6">
        <v>46</v>
      </c>
      <c r="I6">
        <f t="shared" si="0"/>
        <v>60.508399999999995</v>
      </c>
    </row>
    <row r="7" spans="1:9">
      <c r="A7">
        <v>884910285</v>
      </c>
      <c r="B7" t="str">
        <f>_xlfn.XLOOKUP(A7,HMSD!C$2:C$49,HMSD!D$2:D$49)</f>
        <v>CTG, 106MM HEP-T M346/A1</v>
      </c>
      <c r="C7" t="str">
        <f>_xlfn.XLOOKUP($A7,HMSD!$C$2:$C$49,HMSD!E$2:E$49)</f>
        <v>1.1</v>
      </c>
      <c r="D7" t="str">
        <f>_xlfn.XLOOKUP($A7,HMSD!$C$2:$C$49,HMSD!F$2:F$49)</f>
        <v>F</v>
      </c>
      <c r="E7">
        <f>_xlfn.XLOOKUP($A7,HMSD!$C$2:$C$49,HMSD!G$2:G$49)</f>
        <v>7.2107000000000001</v>
      </c>
      <c r="F7" t="s">
        <v>9</v>
      </c>
      <c r="G7" t="str">
        <f>_xlfn.XLOOKUP(Inventory!F7,SLOC!A$2:A$6,SLOC!B$2:B$6)</f>
        <v>Location A</v>
      </c>
      <c r="H7">
        <v>91</v>
      </c>
      <c r="I7">
        <f t="shared" si="0"/>
        <v>656.17370000000005</v>
      </c>
    </row>
    <row r="8" spans="1:9">
      <c r="A8">
        <v>887842065</v>
      </c>
      <c r="B8" t="str">
        <f>_xlfn.XLOOKUP(A8,HMSD!C$2:C$49,HMSD!D$2:D$49)</f>
        <v>CTG &amp; LAUNCHER, 84MM CS RS</v>
      </c>
      <c r="C8" t="str">
        <f>_xlfn.XLOOKUP($A8,HMSD!$C$2:$C$49,HMSD!E$2:E$49)</f>
        <v>1.2</v>
      </c>
      <c r="D8" t="str">
        <f>_xlfn.XLOOKUP($A8,HMSD!$C$2:$C$49,HMSD!F$2:F$49)</f>
        <v>E</v>
      </c>
      <c r="E8">
        <f>_xlfn.XLOOKUP($A8,HMSD!$C$2:$C$49,HMSD!G$2:G$49)</f>
        <v>0.57740000000000002</v>
      </c>
      <c r="F8" t="s">
        <v>9</v>
      </c>
      <c r="G8" t="str">
        <f>_xlfn.XLOOKUP(Inventory!F8,SLOC!A$2:A$6,SLOC!B$2:B$6)</f>
        <v>Location A</v>
      </c>
      <c r="H8">
        <v>34</v>
      </c>
      <c r="I8">
        <f t="shared" si="0"/>
        <v>19.631600000000002</v>
      </c>
    </row>
    <row r="9" spans="1:9">
      <c r="A9">
        <v>880958321</v>
      </c>
      <c r="B9" t="str">
        <f>_xlfn.XLOOKUP(A9,HMSD!C$2:C$49,HMSD!D$2:D$49)</f>
        <v>FUZE, FMU-152A/B JPF</v>
      </c>
      <c r="C9" t="str">
        <f>_xlfn.XLOOKUP($A9,HMSD!$C$2:$C$49,HMSD!E$2:E$49)</f>
        <v>1.2</v>
      </c>
      <c r="D9" t="str">
        <f>_xlfn.XLOOKUP($A9,HMSD!$C$2:$C$49,HMSD!F$2:F$49)</f>
        <v>F</v>
      </c>
      <c r="E9">
        <f>_xlfn.XLOOKUP($A9,HMSD!$C$2:$C$49,HMSD!G$2:G$49)</f>
        <v>0.1651</v>
      </c>
      <c r="F9" t="s">
        <v>9</v>
      </c>
      <c r="G9" t="str">
        <f>_xlfn.XLOOKUP(Inventory!F9,SLOC!A$2:A$6,SLOC!B$2:B$6)</f>
        <v>Location A</v>
      </c>
      <c r="H9">
        <v>68</v>
      </c>
      <c r="I9">
        <f t="shared" si="0"/>
        <v>11.226799999999999</v>
      </c>
    </row>
    <row r="10" spans="1:9">
      <c r="A10">
        <v>888407265</v>
      </c>
      <c r="B10" t="str">
        <f>_xlfn.XLOOKUP(A10,HMSD!C$2:C$49,HMSD!D$2:D$49)</f>
        <v>IGNITER, BOMB WP M23</v>
      </c>
      <c r="C10" t="str">
        <f>_xlfn.XLOOKUP($A10,HMSD!$C$2:$C$49,HMSD!E$2:E$49)</f>
        <v>1.3</v>
      </c>
      <c r="D10" t="str">
        <f>_xlfn.XLOOKUP($A10,HMSD!$C$2:$C$49,HMSD!F$2:F$49)</f>
        <v>H</v>
      </c>
      <c r="E10">
        <f>_xlfn.XLOOKUP($A10,HMSD!$C$2:$C$49,HMSD!G$2:G$49)</f>
        <v>0.5897</v>
      </c>
      <c r="F10" t="s">
        <v>9</v>
      </c>
      <c r="G10" t="str">
        <f>_xlfn.XLOOKUP(Inventory!F10,SLOC!A$2:A$6,SLOC!B$2:B$6)</f>
        <v>Location A</v>
      </c>
      <c r="H10">
        <v>77</v>
      </c>
      <c r="I10">
        <f t="shared" si="0"/>
        <v>45.4069</v>
      </c>
    </row>
    <row r="11" spans="1:9">
      <c r="A11">
        <v>882316804</v>
      </c>
      <c r="B11" t="str">
        <f>_xlfn.XLOOKUP(A11,HMSD!C$2:C$49,HMSD!D$2:D$49)</f>
        <v>BOMB, GUIDED GP GBU-39/B SDB</v>
      </c>
      <c r="C11" t="str">
        <f>_xlfn.XLOOKUP($A11,HMSD!$C$2:$C$49,HMSD!E$2:E$49)</f>
        <v>1.2.3</v>
      </c>
      <c r="D11" t="str">
        <f>_xlfn.XLOOKUP($A11,HMSD!$C$2:$C$49,HMSD!F$2:F$49)</f>
        <v>D</v>
      </c>
      <c r="E11">
        <f>_xlfn.XLOOKUP($A11,HMSD!$C$2:$C$49,HMSD!G$2:G$49)</f>
        <v>16.782900000000001</v>
      </c>
      <c r="F11" t="s">
        <v>9</v>
      </c>
      <c r="G11" t="str">
        <f>_xlfn.XLOOKUP(Inventory!F11,SLOC!A$2:A$6,SLOC!B$2:B$6)</f>
        <v>Location A</v>
      </c>
      <c r="H11">
        <v>5</v>
      </c>
      <c r="I11">
        <f t="shared" si="0"/>
        <v>83.914500000000004</v>
      </c>
    </row>
    <row r="12" spans="1:9">
      <c r="A12">
        <v>883317492</v>
      </c>
      <c r="B12" t="str">
        <f>_xlfn.XLOOKUP(A12,HMSD!C$2:C$49,HMSD!D$2:D$49)</f>
        <v>CARTRIDGES, POWER DEVICE</v>
      </c>
      <c r="C12" t="str">
        <f>_xlfn.XLOOKUP($A12,HMSD!$C$2:$C$49,HMSD!E$2:E$49)</f>
        <v>1.2</v>
      </c>
      <c r="D12" t="str">
        <f>_xlfn.XLOOKUP($A12,HMSD!$C$2:$C$49,HMSD!F$2:F$49)</f>
        <v>C</v>
      </c>
      <c r="E12">
        <f>_xlfn.XLOOKUP($A12,HMSD!$C$2:$C$49,HMSD!G$2:G$49)</f>
        <v>5.4600000000000003E-2</v>
      </c>
      <c r="F12" t="s">
        <v>10</v>
      </c>
      <c r="G12" t="str">
        <f>_xlfn.XLOOKUP(Inventory!F12,SLOC!A$2:A$6,SLOC!B$2:B$6)</f>
        <v>Location B</v>
      </c>
      <c r="H12">
        <v>72</v>
      </c>
      <c r="I12">
        <f t="shared" si="0"/>
        <v>3.9312</v>
      </c>
    </row>
    <row r="13" spans="1:9">
      <c r="A13">
        <v>886935821</v>
      </c>
      <c r="B13" t="str">
        <f>_xlfn.XLOOKUP(A13,HMSD!C$2:C$49,HMSD!D$2:D$49)</f>
        <v>CTG, 20MM SAPHEI PGU-28A/B SNGL RD</v>
      </c>
      <c r="C13" t="str">
        <f>_xlfn.XLOOKUP($A13,HMSD!$C$2:$C$49,HMSD!E$2:E$49)</f>
        <v>1.2.2</v>
      </c>
      <c r="D13" t="str">
        <f>_xlfn.XLOOKUP($A13,HMSD!$C$2:$C$49,HMSD!F$2:F$49)</f>
        <v>E</v>
      </c>
      <c r="E13">
        <f>_xlfn.XLOOKUP($A13,HMSD!$C$2:$C$49,HMSD!G$2:G$49)</f>
        <v>1.09E-2</v>
      </c>
      <c r="F13" t="s">
        <v>10</v>
      </c>
      <c r="G13" t="str">
        <f>_xlfn.XLOOKUP(Inventory!F13,SLOC!A$2:A$6,SLOC!B$2:B$6)</f>
        <v>Location B</v>
      </c>
      <c r="H13">
        <v>18</v>
      </c>
      <c r="I13">
        <f t="shared" si="0"/>
        <v>0.19619999999999999</v>
      </c>
    </row>
    <row r="14" spans="1:9">
      <c r="A14">
        <v>884567819</v>
      </c>
      <c r="B14" t="str">
        <f>_xlfn.XLOOKUP(A14,HMSD!C$2:C$49,HMSD!D$2:D$49)</f>
        <v>CTG, 40MM RED SMK M713 SNGL RD</v>
      </c>
      <c r="C14" t="str">
        <f>_xlfn.XLOOKUP($A14,HMSD!$C$2:$C$49,HMSD!E$2:E$49)</f>
        <v>1.2</v>
      </c>
      <c r="D14" t="str">
        <f>_xlfn.XLOOKUP($A14,HMSD!$C$2:$C$49,HMSD!F$2:F$49)</f>
        <v>L</v>
      </c>
      <c r="E14">
        <f>_xlfn.XLOOKUP($A14,HMSD!$C$2:$C$49,HMSD!G$2:G$49)</f>
        <v>7.8100000000000003E-2</v>
      </c>
      <c r="F14" t="s">
        <v>10</v>
      </c>
      <c r="G14" t="str">
        <f>_xlfn.XLOOKUP(Inventory!F14,SLOC!A$2:A$6,SLOC!B$2:B$6)</f>
        <v>Location B</v>
      </c>
      <c r="H14">
        <v>55</v>
      </c>
      <c r="I14">
        <f t="shared" si="0"/>
        <v>4.2955000000000005</v>
      </c>
    </row>
    <row r="15" spans="1:9">
      <c r="A15">
        <v>888294156</v>
      </c>
      <c r="B15" t="str">
        <f>_xlfn.XLOOKUP(A15,HMSD!C$2:C$49,HMSD!D$2:D$49)</f>
        <v>CTG MORTAR, 120MM SMOKE WP M1103 EFSS</v>
      </c>
      <c r="C15" t="str">
        <f>_xlfn.XLOOKUP($A15,HMSD!$C$2:$C$49,HMSD!E$2:E$49)</f>
        <v>1.2.1</v>
      </c>
      <c r="D15" t="str">
        <f>_xlfn.XLOOKUP($A15,HMSD!$C$2:$C$49,HMSD!F$2:F$49)</f>
        <v>H</v>
      </c>
      <c r="E15">
        <f>_xlfn.XLOOKUP($A15,HMSD!$C$2:$C$49,HMSD!G$2:G$49)</f>
        <v>0.89810000000000001</v>
      </c>
      <c r="F15" t="s">
        <v>10</v>
      </c>
      <c r="G15" t="str">
        <f>_xlfn.XLOOKUP(Inventory!F15,SLOC!A$2:A$6,SLOC!B$2:B$6)</f>
        <v>Location B</v>
      </c>
      <c r="H15">
        <v>89</v>
      </c>
      <c r="I15">
        <f t="shared" si="0"/>
        <v>79.930899999999994</v>
      </c>
    </row>
    <row r="16" spans="1:9">
      <c r="A16">
        <v>880009632</v>
      </c>
      <c r="B16" t="str">
        <f>_xlfn.XLOOKUP(A16,HMSD!C$2:C$49,HMSD!D$2:D$49)</f>
        <v>CHG, PROP 155MM M19</v>
      </c>
      <c r="C16" t="str">
        <f>_xlfn.XLOOKUP($A16,HMSD!$C$2:$C$49,HMSD!E$2:E$49)</f>
        <v>1.2</v>
      </c>
      <c r="D16" t="str">
        <f>_xlfn.XLOOKUP($A16,HMSD!$C$2:$C$49,HMSD!F$2:F$49)</f>
        <v>K</v>
      </c>
      <c r="E16">
        <f>_xlfn.XLOOKUP($A16,HMSD!$C$2:$C$49,HMSD!G$2:G$49)</f>
        <v>14.061400000000001</v>
      </c>
      <c r="F16" t="s">
        <v>10</v>
      </c>
      <c r="G16" t="str">
        <f>_xlfn.XLOOKUP(Inventory!F16,SLOC!A$2:A$6,SLOC!B$2:B$6)</f>
        <v>Location B</v>
      </c>
      <c r="H16">
        <v>43</v>
      </c>
      <c r="I16">
        <f t="shared" si="0"/>
        <v>604.64020000000005</v>
      </c>
    </row>
    <row r="17" spans="1:9">
      <c r="A17">
        <v>887120843</v>
      </c>
      <c r="B17" t="str">
        <f>_xlfn.XLOOKUP(A17,HMSD!C$2:C$49,HMSD!D$2:D$49)</f>
        <v>RCKT MTR, DUAL THRUST MK104-3 ALUMINUM CNTR (37)</v>
      </c>
      <c r="C17" t="str">
        <f>_xlfn.XLOOKUP($A17,HMSD!$C$2:$C$49,HMSD!E$2:E$49)</f>
        <v>1.2.1</v>
      </c>
      <c r="D17" t="str">
        <f>_xlfn.XLOOKUP($A17,HMSD!$C$2:$C$49,HMSD!F$2:F$49)</f>
        <v>C</v>
      </c>
      <c r="E17">
        <f>_xlfn.XLOOKUP($A17,HMSD!$C$2:$C$49,HMSD!G$2:G$49)</f>
        <v>95.526600000000002</v>
      </c>
      <c r="F17" t="s">
        <v>10</v>
      </c>
      <c r="G17" t="str">
        <f>_xlfn.XLOOKUP(Inventory!F17,SLOC!A$2:A$6,SLOC!B$2:B$6)</f>
        <v>Location B</v>
      </c>
      <c r="H17">
        <v>61</v>
      </c>
      <c r="I17">
        <f t="shared" si="0"/>
        <v>5827.1225999999997</v>
      </c>
    </row>
    <row r="18" spans="1:9">
      <c r="A18">
        <v>886481907</v>
      </c>
      <c r="B18" t="str">
        <f>_xlfn.XLOOKUP(A18,HMSD!C$2:C$49,HMSD!D$2:D$49)</f>
        <v>CTG. 4.2 IN ILLUM M335 SERIES</v>
      </c>
      <c r="C18" t="str">
        <f>_xlfn.XLOOKUP($A18,HMSD!$C$2:$C$49,HMSD!E$2:E$49)</f>
        <v>1.2</v>
      </c>
      <c r="D18" t="str">
        <f>_xlfn.XLOOKUP($A18,HMSD!$C$2:$C$49,HMSD!F$2:F$49)</f>
        <v>G</v>
      </c>
      <c r="E18">
        <f>_xlfn.XLOOKUP($A18,HMSD!$C$2:$C$49,HMSD!G$2:G$49)</f>
        <v>1.8862000000000001</v>
      </c>
      <c r="F18" t="s">
        <v>10</v>
      </c>
      <c r="G18" t="str">
        <f>_xlfn.XLOOKUP(Inventory!F18,SLOC!A$2:A$6,SLOC!B$2:B$6)</f>
        <v>Location B</v>
      </c>
      <c r="H18">
        <v>7</v>
      </c>
      <c r="I18">
        <f t="shared" si="0"/>
        <v>13.2034</v>
      </c>
    </row>
    <row r="19" spans="1:9">
      <c r="A19">
        <v>885184037</v>
      </c>
      <c r="B19" t="str">
        <f>_xlfn.XLOOKUP(A19,HMSD!C$2:C$49,HMSD!D$2:D$49)</f>
        <v>DRIVER, POWDER ACTUATED MK22-0 (1375)</v>
      </c>
      <c r="C19" t="str">
        <f>_xlfn.XLOOKUP($A19,HMSD!$C$2:$C$49,HMSD!E$2:E$49)</f>
        <v>1.2.2</v>
      </c>
      <c r="D19" t="str">
        <f>_xlfn.XLOOKUP($A19,HMSD!$C$2:$C$49,HMSD!F$2:F$49)</f>
        <v>C</v>
      </c>
      <c r="E19">
        <f>_xlfn.XLOOKUP($A19,HMSD!$C$2:$C$49,HMSD!G$2:G$49)</f>
        <v>5.9999999999999995E-4</v>
      </c>
      <c r="F19" t="s">
        <v>10</v>
      </c>
      <c r="G19" t="str">
        <f>_xlfn.XLOOKUP(Inventory!F19,SLOC!A$2:A$6,SLOC!B$2:B$6)</f>
        <v>Location B</v>
      </c>
      <c r="H19">
        <v>95</v>
      </c>
      <c r="I19">
        <f t="shared" si="0"/>
        <v>5.6999999999999995E-2</v>
      </c>
    </row>
    <row r="20" spans="1:9">
      <c r="A20">
        <v>880083529</v>
      </c>
      <c r="B20" t="str">
        <f>_xlfn.XLOOKUP(A20,HMSD!C$2:C$49,HMSD!D$2:D$49)</f>
        <v>CTG, 105MM CLEARING (1315)</v>
      </c>
      <c r="C20" t="str">
        <f>_xlfn.XLOOKUP($A20,HMSD!$C$2:$C$49,HMSD!E$2:E$49)</f>
        <v>1.3</v>
      </c>
      <c r="D20" t="str">
        <f>_xlfn.XLOOKUP($A20,HMSD!$C$2:$C$49,HMSD!F$2:F$49)</f>
        <v>C</v>
      </c>
      <c r="E20">
        <f>_xlfn.XLOOKUP($A20,HMSD!$C$2:$C$49,HMSD!G$2:G$49)</f>
        <v>1.3153999999999999</v>
      </c>
      <c r="F20" t="s">
        <v>10</v>
      </c>
      <c r="G20" t="str">
        <f>_xlfn.XLOOKUP(Inventory!F20,SLOC!A$2:A$6,SLOC!B$2:B$6)</f>
        <v>Location B</v>
      </c>
      <c r="H20">
        <v>33</v>
      </c>
      <c r="I20">
        <f t="shared" si="0"/>
        <v>43.408199999999994</v>
      </c>
    </row>
    <row r="21" spans="1:9">
      <c r="A21">
        <v>885600034</v>
      </c>
      <c r="B21" t="str">
        <f>_xlfn.XLOOKUP(A21,HMSD!C$2:C$49,HMSD!D$2:D$49)</f>
        <v>POINT DETONATING FUZE</v>
      </c>
      <c r="C21" t="str">
        <f>_xlfn.XLOOKUP($A21,HMSD!$C$2:$C$49,HMSD!E$2:E$49)</f>
        <v>1.2</v>
      </c>
      <c r="D21" t="str">
        <f>_xlfn.XLOOKUP($A21,HMSD!$C$2:$C$49,HMSD!F$2:F$49)</f>
        <v>B</v>
      </c>
      <c r="E21">
        <f>_xlfn.XLOOKUP($A21,HMSD!$C$2:$C$49,HMSD!G$2:G$49)</f>
        <v>2.18E-2</v>
      </c>
      <c r="F21" t="s">
        <v>11</v>
      </c>
      <c r="G21" t="str">
        <f>_xlfn.XLOOKUP(Inventory!F21,SLOC!A$2:A$6,SLOC!B$2:B$6)</f>
        <v>Location C</v>
      </c>
      <c r="H21">
        <v>42</v>
      </c>
      <c r="I21">
        <f t="shared" si="0"/>
        <v>0.91559999999999997</v>
      </c>
    </row>
    <row r="22" spans="1:9">
      <c r="A22">
        <v>883317492</v>
      </c>
      <c r="B22" t="str">
        <f>_xlfn.XLOOKUP(A22,HMSD!C$2:C$49,HMSD!D$2:D$49)</f>
        <v>CARTRIDGES, POWER DEVICE</v>
      </c>
      <c r="C22" t="str">
        <f>_xlfn.XLOOKUP($A22,HMSD!$C$2:$C$49,HMSD!E$2:E$49)</f>
        <v>1.2</v>
      </c>
      <c r="D22" t="str">
        <f>_xlfn.XLOOKUP($A22,HMSD!$C$2:$C$49,HMSD!F$2:F$49)</f>
        <v>C</v>
      </c>
      <c r="E22">
        <f>_xlfn.XLOOKUP($A22,HMSD!$C$2:$C$49,HMSD!G$2:G$49)</f>
        <v>5.4600000000000003E-2</v>
      </c>
      <c r="F22" t="s">
        <v>11</v>
      </c>
      <c r="G22" t="str">
        <f>_xlfn.XLOOKUP(Inventory!F22,SLOC!A$2:A$6,SLOC!B$2:B$6)</f>
        <v>Location C</v>
      </c>
      <c r="H22">
        <v>17</v>
      </c>
      <c r="I22">
        <f t="shared" si="0"/>
        <v>0.92820000000000003</v>
      </c>
    </row>
    <row r="23" spans="1:9">
      <c r="A23">
        <v>888093467</v>
      </c>
      <c r="B23" t="str">
        <f>_xlfn.XLOOKUP(A23,HMSD!C$2:C$49,HMSD!D$2:D$49)</f>
        <v>CTG, 5.56MM 4 AP M995/1 TR M856</v>
      </c>
      <c r="C23" t="str">
        <f>_xlfn.XLOOKUP($A23,HMSD!$C$2:$C$49,HMSD!E$2:E$49)</f>
        <v>1.4</v>
      </c>
      <c r="D23" t="str">
        <f>_xlfn.XLOOKUP($A23,HMSD!$C$2:$C$49,HMSD!F$2:F$49)</f>
        <v>S</v>
      </c>
      <c r="E23">
        <f>_xlfn.XLOOKUP($A23,HMSD!$C$2:$C$49,HMSD!G$2:G$49)</f>
        <v>2.0999999999999999E-3</v>
      </c>
      <c r="F23" t="s">
        <v>11</v>
      </c>
      <c r="G23" t="str">
        <f>_xlfn.XLOOKUP(Inventory!F23,SLOC!A$2:A$6,SLOC!B$2:B$6)</f>
        <v>Location C</v>
      </c>
      <c r="H23">
        <v>88</v>
      </c>
      <c r="I23">
        <f t="shared" si="0"/>
        <v>0.18479999999999999</v>
      </c>
    </row>
    <row r="24" spans="1:9">
      <c r="A24">
        <v>886182049</v>
      </c>
      <c r="B24" t="str">
        <f>_xlfn.XLOOKUP(A24,HMSD!C$2:C$49,HMSD!D$2:D$49)</f>
        <v>CTG, 7.62MM AP M993 SNGL RD</v>
      </c>
      <c r="C24" t="str">
        <f>_xlfn.XLOOKUP($A24,HMSD!$C$2:$C$49,HMSD!E$2:E$49)</f>
        <v>1.4</v>
      </c>
      <c r="D24" t="str">
        <f>_xlfn.XLOOKUP($A24,HMSD!$C$2:$C$49,HMSD!F$2:F$49)</f>
        <v>C</v>
      </c>
      <c r="E24">
        <f>_xlfn.XLOOKUP($A24,HMSD!$C$2:$C$49,HMSD!G$2:G$49)</f>
        <v>2.8999999999999998E-3</v>
      </c>
      <c r="F24" t="s">
        <v>11</v>
      </c>
      <c r="G24" t="str">
        <f>_xlfn.XLOOKUP(Inventory!F24,SLOC!A$2:A$6,SLOC!B$2:B$6)</f>
        <v>Location C</v>
      </c>
      <c r="H24">
        <v>53</v>
      </c>
      <c r="I24">
        <f t="shared" si="0"/>
        <v>0.1537</v>
      </c>
    </row>
    <row r="25" spans="1:9">
      <c r="A25">
        <v>887612509</v>
      </c>
      <c r="B25" t="str">
        <f>_xlfn.XLOOKUP(A25,HMSD!C$2:C$49,HMSD!D$2:D$49)</f>
        <v>CTG, CAL .50 1 API MK211-0/1 AP M2/1 API-T M20</v>
      </c>
      <c r="C25" t="str">
        <f>_xlfn.XLOOKUP($A25,HMSD!$C$2:$C$49,HMSD!E$2:E$49)</f>
        <v>1.2.2</v>
      </c>
      <c r="D25" t="str">
        <f>_xlfn.XLOOKUP($A25,HMSD!$C$2:$C$49,HMSD!F$2:F$49)</f>
        <v>G</v>
      </c>
      <c r="E25">
        <f>_xlfn.XLOOKUP($A25,HMSD!$C$2:$C$49,HMSD!G$2:G$49)</f>
        <v>5.9999999999999995E-4</v>
      </c>
      <c r="F25" t="s">
        <v>11</v>
      </c>
      <c r="G25" t="str">
        <f>_xlfn.XLOOKUP(Inventory!F25,SLOC!A$2:A$6,SLOC!B$2:B$6)</f>
        <v>Location C</v>
      </c>
      <c r="H25">
        <v>29</v>
      </c>
      <c r="I25">
        <f t="shared" si="0"/>
        <v>1.7399999999999999E-2</v>
      </c>
    </row>
    <row r="26" spans="1:9">
      <c r="A26">
        <v>886935821</v>
      </c>
      <c r="B26" t="str">
        <f>_xlfn.XLOOKUP(A26,HMSD!C$2:C$49,HMSD!D$2:D$49)</f>
        <v>CTG, 20MM SAPHEI PGU-28A/B SNGL RD</v>
      </c>
      <c r="C26" t="str">
        <f>_xlfn.XLOOKUP($A26,HMSD!$C$2:$C$49,HMSD!E$2:E$49)</f>
        <v>1.2.2</v>
      </c>
      <c r="D26" t="str">
        <f>_xlfn.XLOOKUP($A26,HMSD!$C$2:$C$49,HMSD!F$2:F$49)</f>
        <v>E</v>
      </c>
      <c r="E26">
        <f>_xlfn.XLOOKUP($A26,HMSD!$C$2:$C$49,HMSD!G$2:G$49)</f>
        <v>1.09E-2</v>
      </c>
      <c r="F26" t="s">
        <v>11</v>
      </c>
      <c r="G26" t="str">
        <f>_xlfn.XLOOKUP(Inventory!F26,SLOC!A$2:A$6,SLOC!B$2:B$6)</f>
        <v>Location C</v>
      </c>
      <c r="H26">
        <v>74</v>
      </c>
      <c r="I26">
        <f t="shared" si="0"/>
        <v>0.80659999999999998</v>
      </c>
    </row>
    <row r="27" spans="1:9">
      <c r="A27">
        <v>884708253</v>
      </c>
      <c r="B27" t="str">
        <f>_xlfn.XLOOKUP(A27,HMSD!C$2:C$49,HMSD!D$2:D$49)</f>
        <v>CTG, CAL .50 4 API M8/1 API-DT MK257-0</v>
      </c>
      <c r="C27" t="str">
        <f>_xlfn.XLOOKUP($A27,HMSD!$C$2:$C$49,HMSD!E$2:E$49)</f>
        <v>1.4</v>
      </c>
      <c r="D27" t="str">
        <f>_xlfn.XLOOKUP($A27,HMSD!$C$2:$C$49,HMSD!F$2:F$49)</f>
        <v>G</v>
      </c>
      <c r="E27">
        <f>_xlfn.XLOOKUP($A27,HMSD!$C$2:$C$49,HMSD!G$2:G$49)</f>
        <v>1.6400000000000001E-2</v>
      </c>
      <c r="F27" t="s">
        <v>11</v>
      </c>
      <c r="G27" t="str">
        <f>_xlfn.XLOOKUP(Inventory!F27,SLOC!A$2:A$6,SLOC!B$2:B$6)</f>
        <v>Location C</v>
      </c>
      <c r="H27">
        <v>11</v>
      </c>
      <c r="I27">
        <f t="shared" si="0"/>
        <v>0.1804</v>
      </c>
    </row>
    <row r="28" spans="1:9">
      <c r="A28">
        <v>883478905</v>
      </c>
      <c r="B28" t="str">
        <f>_xlfn.XLOOKUP(A28,HMSD!C$2:C$49,HMSD!D$2:D$49)</f>
        <v>CTG, 30MM X 173MM, APFSDS-T, MK258 MOD 1</v>
      </c>
      <c r="C28" t="str">
        <f>_xlfn.XLOOKUP($A28,HMSD!$C$2:$C$49,HMSD!E$2:E$49)</f>
        <v>1.2.2</v>
      </c>
      <c r="D28" t="str">
        <f>_xlfn.XLOOKUP($A28,HMSD!$C$2:$C$49,HMSD!F$2:F$49)</f>
        <v>C</v>
      </c>
      <c r="E28">
        <f>_xlfn.XLOOKUP($A28,HMSD!$C$2:$C$49,HMSD!G$2:G$49)</f>
        <v>0.18579999999999999</v>
      </c>
      <c r="F28" t="s">
        <v>11</v>
      </c>
      <c r="G28" t="str">
        <f>_xlfn.XLOOKUP(Inventory!F28,SLOC!A$2:A$6,SLOC!B$2:B$6)</f>
        <v>Location C</v>
      </c>
      <c r="H28">
        <v>66</v>
      </c>
      <c r="I28">
        <f t="shared" si="0"/>
        <v>12.2628</v>
      </c>
    </row>
    <row r="29" spans="1:9">
      <c r="A29">
        <v>880083529</v>
      </c>
      <c r="B29" t="str">
        <f>_xlfn.XLOOKUP(A29,HMSD!C$2:C$49,HMSD!D$2:D$49)</f>
        <v>CTG, 105MM CLEARING (1315)</v>
      </c>
      <c r="C29" t="str">
        <f>_xlfn.XLOOKUP($A29,HMSD!$C$2:$C$49,HMSD!E$2:E$49)</f>
        <v>1.3</v>
      </c>
      <c r="D29" t="str">
        <f>_xlfn.XLOOKUP($A29,HMSD!$C$2:$C$49,HMSD!F$2:F$49)</f>
        <v>C</v>
      </c>
      <c r="E29">
        <f>_xlfn.XLOOKUP($A29,HMSD!$C$2:$C$49,HMSD!G$2:G$49)</f>
        <v>1.3153999999999999</v>
      </c>
      <c r="F29" t="s">
        <v>11</v>
      </c>
      <c r="G29" t="str">
        <f>_xlfn.XLOOKUP(Inventory!F29,SLOC!A$2:A$6,SLOC!B$2:B$6)</f>
        <v>Location C</v>
      </c>
      <c r="H29">
        <v>35</v>
      </c>
      <c r="I29">
        <f t="shared" si="0"/>
        <v>46.038999999999994</v>
      </c>
    </row>
    <row r="30" spans="1:9">
      <c r="A30">
        <v>884567819</v>
      </c>
      <c r="B30" t="str">
        <f>_xlfn.XLOOKUP(A30,HMSD!C$2:C$49,HMSD!D$2:D$49)</f>
        <v>CTG, 40MM RED SMK M713 SNGL RD</v>
      </c>
      <c r="C30" t="str">
        <f>_xlfn.XLOOKUP($A30,HMSD!$C$2:$C$49,HMSD!E$2:E$49)</f>
        <v>1.2</v>
      </c>
      <c r="D30" t="str">
        <f>_xlfn.XLOOKUP($A30,HMSD!$C$2:$C$49,HMSD!F$2:F$49)</f>
        <v>L</v>
      </c>
      <c r="E30">
        <f>_xlfn.XLOOKUP($A30,HMSD!$C$2:$C$49,HMSD!G$2:G$49)</f>
        <v>7.8100000000000003E-2</v>
      </c>
      <c r="F30" t="s">
        <v>11</v>
      </c>
      <c r="G30" t="str">
        <f>_xlfn.XLOOKUP(Inventory!F30,SLOC!A$2:A$6,SLOC!B$2:B$6)</f>
        <v>Location C</v>
      </c>
      <c r="H30">
        <v>90</v>
      </c>
      <c r="I30">
        <f t="shared" si="0"/>
        <v>7.0289999999999999</v>
      </c>
    </row>
    <row r="31" spans="1:9">
      <c r="A31">
        <v>880571934</v>
      </c>
      <c r="B31" t="str">
        <f>_xlfn.XLOOKUP(A31,HMSD!C$2:C$49,HMSD!D$2:D$49)</f>
        <v>CTG, 60MM WP SMOKE M722A1</v>
      </c>
      <c r="C31" t="str">
        <f>_xlfn.XLOOKUP($A31,HMSD!$C$2:$C$49,HMSD!E$2:E$49)</f>
        <v>1.2.2</v>
      </c>
      <c r="D31" t="str">
        <f>_xlfn.XLOOKUP($A31,HMSD!$C$2:$C$49,HMSD!F$2:F$49)</f>
        <v>H</v>
      </c>
      <c r="E31">
        <f>_xlfn.XLOOKUP($A31,HMSD!$C$2:$C$49,HMSD!G$2:G$49)</f>
        <v>4.82E-2</v>
      </c>
      <c r="F31" t="s">
        <v>11</v>
      </c>
      <c r="G31" t="str">
        <f>_xlfn.XLOOKUP(Inventory!F31,SLOC!A$2:A$6,SLOC!B$2:B$6)</f>
        <v>Location C</v>
      </c>
      <c r="H31">
        <v>48</v>
      </c>
      <c r="I31">
        <f t="shared" si="0"/>
        <v>2.3136000000000001</v>
      </c>
    </row>
    <row r="32" spans="1:9">
      <c r="A32">
        <v>880341965</v>
      </c>
      <c r="B32" t="str">
        <f>_xlfn.XLOOKUP(A32,HMSD!C$2:C$49,HMSD!D$2:D$49)</f>
        <v>CTG, 105MM SMK WP M60A2 SER</v>
      </c>
      <c r="C32" t="str">
        <f>_xlfn.XLOOKUP($A32,HMSD!$C$2:$C$49,HMSD!E$2:E$49)</f>
        <v>1.4</v>
      </c>
      <c r="D32" t="str">
        <f>_xlfn.XLOOKUP($A32,HMSD!$C$2:$C$49,HMSD!F$2:F$49)</f>
        <v>F</v>
      </c>
      <c r="E32">
        <f>_xlfn.XLOOKUP($A32,HMSD!$C$2:$C$49,HMSD!G$2:G$49)</f>
        <v>1.7000999999999999</v>
      </c>
      <c r="F32" t="s">
        <v>11</v>
      </c>
      <c r="G32" t="str">
        <f>_xlfn.XLOOKUP(Inventory!F32,SLOC!A$2:A$6,SLOC!B$2:B$6)</f>
        <v>Location C</v>
      </c>
      <c r="H32">
        <v>63</v>
      </c>
      <c r="I32">
        <f t="shared" si="0"/>
        <v>107.10629999999999</v>
      </c>
    </row>
    <row r="33" spans="1:9">
      <c r="A33">
        <v>882194068</v>
      </c>
      <c r="B33" t="str">
        <f>_xlfn.XLOOKUP(A33,HMSD!C$2:C$49,HMSD!D$2:D$49)</f>
        <v>CTG MORTAR, 120MM SMK WP XM/M929</v>
      </c>
      <c r="C33" t="str">
        <f>_xlfn.XLOOKUP($A33,HMSD!$C$2:$C$49,HMSD!E$2:E$49)</f>
        <v>1.2</v>
      </c>
      <c r="D33" t="str">
        <f>_xlfn.XLOOKUP($A33,HMSD!$C$2:$C$49,HMSD!F$2:F$49)</f>
        <v>H</v>
      </c>
      <c r="E33">
        <f>_xlfn.XLOOKUP($A33,HMSD!$C$2:$C$49,HMSD!G$2:G$49)</f>
        <v>0.66649999999999998</v>
      </c>
      <c r="F33" t="s">
        <v>11</v>
      </c>
      <c r="G33" t="str">
        <f>_xlfn.XLOOKUP(Inventory!F33,SLOC!A$2:A$6,SLOC!B$2:B$6)</f>
        <v>Location C</v>
      </c>
      <c r="H33">
        <v>27</v>
      </c>
      <c r="I33">
        <f t="shared" si="0"/>
        <v>17.9955</v>
      </c>
    </row>
    <row r="34" spans="1:9">
      <c r="A34">
        <v>884910285</v>
      </c>
      <c r="B34" t="str">
        <f>_xlfn.XLOOKUP(A34,HMSD!C$2:C$49,HMSD!D$2:D$49)</f>
        <v>CTG, 106MM HEP-T M346/A1</v>
      </c>
      <c r="C34" t="str">
        <f>_xlfn.XLOOKUP($A34,HMSD!$C$2:$C$49,HMSD!E$2:E$49)</f>
        <v>1.1</v>
      </c>
      <c r="D34" t="str">
        <f>_xlfn.XLOOKUP($A34,HMSD!$C$2:$C$49,HMSD!F$2:F$49)</f>
        <v>F</v>
      </c>
      <c r="E34">
        <f>_xlfn.XLOOKUP($A34,HMSD!$C$2:$C$49,HMSD!G$2:G$49)</f>
        <v>7.2107000000000001</v>
      </c>
      <c r="F34" t="s">
        <v>11</v>
      </c>
      <c r="G34" t="str">
        <f>_xlfn.XLOOKUP(Inventory!F34,SLOC!A$2:A$6,SLOC!B$2:B$6)</f>
        <v>Location C</v>
      </c>
      <c r="H34">
        <v>95</v>
      </c>
      <c r="I34">
        <f t="shared" si="0"/>
        <v>685.01650000000006</v>
      </c>
    </row>
    <row r="35" spans="1:9">
      <c r="A35">
        <v>886481907</v>
      </c>
      <c r="B35" t="str">
        <f>_xlfn.XLOOKUP(A35,HMSD!C$2:C$49,HMSD!D$2:D$49)</f>
        <v>CTG. 4.2 IN ILLUM M335 SERIES</v>
      </c>
      <c r="C35" t="str">
        <f>_xlfn.XLOOKUP($A35,HMSD!$C$2:$C$49,HMSD!E$2:E$49)</f>
        <v>1.2</v>
      </c>
      <c r="D35" t="str">
        <f>_xlfn.XLOOKUP($A35,HMSD!$C$2:$C$49,HMSD!F$2:F$49)</f>
        <v>G</v>
      </c>
      <c r="E35">
        <f>_xlfn.XLOOKUP($A35,HMSD!$C$2:$C$49,HMSD!G$2:G$49)</f>
        <v>1.8862000000000001</v>
      </c>
      <c r="F35" t="s">
        <v>11</v>
      </c>
      <c r="G35" t="str">
        <f>_xlfn.XLOOKUP(Inventory!F35,SLOC!A$2:A$6,SLOC!B$2:B$6)</f>
        <v>Location C</v>
      </c>
      <c r="H35">
        <v>4</v>
      </c>
      <c r="I35">
        <f t="shared" si="0"/>
        <v>7.5448000000000004</v>
      </c>
    </row>
    <row r="36" spans="1:9">
      <c r="A36">
        <v>889514680</v>
      </c>
      <c r="B36" t="str">
        <f>_xlfn.XLOOKUP(A36,HMSD!C$2:C$49,HMSD!D$2:D$49)</f>
        <v>CTG. 4.2 IN ILLUM M999 SERIES</v>
      </c>
      <c r="C36" t="str">
        <f>_xlfn.XLOOKUP($A36,HMSD!$C$2:$C$49,HMSD!E$2:E$49)</f>
        <v>1.4</v>
      </c>
      <c r="D36" t="str">
        <f>_xlfn.XLOOKUP($A36,HMSD!$C$2:$C$49,HMSD!F$2:F$49)</f>
        <v>E</v>
      </c>
      <c r="E36">
        <f>_xlfn.XLOOKUP($A36,HMSD!$C$2:$C$49,HMSD!G$2:G$49)</f>
        <v>1.8862000000000001</v>
      </c>
      <c r="F36" t="s">
        <v>11</v>
      </c>
      <c r="G36" t="str">
        <f>_xlfn.XLOOKUP(Inventory!F36,SLOC!A$2:A$6,SLOC!B$2:B$6)</f>
        <v>Location C</v>
      </c>
      <c r="H36">
        <v>59</v>
      </c>
      <c r="I36">
        <f t="shared" si="0"/>
        <v>111.28580000000001</v>
      </c>
    </row>
    <row r="37" spans="1:9">
      <c r="A37">
        <v>887842065</v>
      </c>
      <c r="B37" t="str">
        <f>_xlfn.XLOOKUP(A37,HMSD!C$2:C$49,HMSD!D$2:D$49)</f>
        <v>CTG &amp; LAUNCHER, 84MM CS RS</v>
      </c>
      <c r="C37" t="str">
        <f>_xlfn.XLOOKUP($A37,HMSD!$C$2:$C$49,HMSD!E$2:E$49)</f>
        <v>1.2</v>
      </c>
      <c r="D37" t="str">
        <f>_xlfn.XLOOKUP($A37,HMSD!$C$2:$C$49,HMSD!F$2:F$49)</f>
        <v>E</v>
      </c>
      <c r="E37">
        <f>_xlfn.XLOOKUP($A37,HMSD!$C$2:$C$49,HMSD!G$2:G$49)</f>
        <v>0.57740000000000002</v>
      </c>
      <c r="F37" t="s">
        <v>11</v>
      </c>
      <c r="G37" t="str">
        <f>_xlfn.XLOOKUP(Inventory!F37,SLOC!A$2:A$6,SLOC!B$2:B$6)</f>
        <v>Location C</v>
      </c>
      <c r="H37">
        <v>32</v>
      </c>
      <c r="I37">
        <f t="shared" si="0"/>
        <v>18.476800000000001</v>
      </c>
    </row>
    <row r="38" spans="1:9">
      <c r="A38">
        <v>888294156</v>
      </c>
      <c r="B38" t="str">
        <f>_xlfn.XLOOKUP(A38,HMSD!C$2:C$49,HMSD!D$2:D$49)</f>
        <v>CTG MORTAR, 120MM SMOKE WP M1103 EFSS</v>
      </c>
      <c r="C38" t="str">
        <f>_xlfn.XLOOKUP($A38,HMSD!$C$2:$C$49,HMSD!E$2:E$49)</f>
        <v>1.2.1</v>
      </c>
      <c r="D38" t="str">
        <f>_xlfn.XLOOKUP($A38,HMSD!$C$2:$C$49,HMSD!F$2:F$49)</f>
        <v>H</v>
      </c>
      <c r="E38">
        <f>_xlfn.XLOOKUP($A38,HMSD!$C$2:$C$49,HMSD!G$2:G$49)</f>
        <v>0.89810000000000001</v>
      </c>
      <c r="F38" t="s">
        <v>11</v>
      </c>
      <c r="G38" t="str">
        <f>_xlfn.XLOOKUP(Inventory!F38,SLOC!A$2:A$6,SLOC!B$2:B$6)</f>
        <v>Location C</v>
      </c>
      <c r="H38">
        <v>21</v>
      </c>
      <c r="I38">
        <f t="shared" si="0"/>
        <v>18.860099999999999</v>
      </c>
    </row>
    <row r="39" spans="1:9">
      <c r="A39">
        <v>880009632</v>
      </c>
      <c r="B39" t="str">
        <f>_xlfn.XLOOKUP(A39,HMSD!C$2:C$49,HMSD!D$2:D$49)</f>
        <v>CHG, PROP 155MM M19</v>
      </c>
      <c r="C39" t="str">
        <f>_xlfn.XLOOKUP($A39,HMSD!$C$2:$C$49,HMSD!E$2:E$49)</f>
        <v>1.2</v>
      </c>
      <c r="D39" t="str">
        <f>_xlfn.XLOOKUP($A39,HMSD!$C$2:$C$49,HMSD!F$2:F$49)</f>
        <v>K</v>
      </c>
      <c r="E39">
        <f>_xlfn.XLOOKUP($A39,HMSD!$C$2:$C$49,HMSD!G$2:G$49)</f>
        <v>14.061400000000001</v>
      </c>
      <c r="F39" t="s">
        <v>11</v>
      </c>
      <c r="G39" t="str">
        <f>_xlfn.XLOOKUP(Inventory!F39,SLOC!A$2:A$6,SLOC!B$2:B$6)</f>
        <v>Location C</v>
      </c>
      <c r="H39">
        <v>77</v>
      </c>
      <c r="I39">
        <f t="shared" si="0"/>
        <v>1082.7278000000001</v>
      </c>
    </row>
    <row r="40" spans="1:9">
      <c r="A40">
        <v>880074186</v>
      </c>
      <c r="B40" t="str">
        <f>_xlfn.XLOOKUP(A40,HMSD!C$2:C$49,HMSD!D$2:D$49)</f>
        <v>BURSTER, PROJ M54A1</v>
      </c>
      <c r="C40" t="str">
        <f>_xlfn.XLOOKUP($A40,HMSD!$C$2:$C$49,HMSD!E$2:E$49)</f>
        <v>1.2</v>
      </c>
      <c r="D40" t="str">
        <f>_xlfn.XLOOKUP($A40,HMSD!$C$2:$C$49,HMSD!F$2:F$49)</f>
        <v>D</v>
      </c>
      <c r="E40">
        <f>_xlfn.XLOOKUP($A40,HMSD!$C$2:$C$49,HMSD!G$2:G$49)</f>
        <v>0.2087</v>
      </c>
      <c r="F40" t="s">
        <v>11</v>
      </c>
      <c r="G40" t="str">
        <f>_xlfn.XLOOKUP(Inventory!F40,SLOC!A$2:A$6,SLOC!B$2:B$6)</f>
        <v>Location C</v>
      </c>
      <c r="H40">
        <v>39</v>
      </c>
      <c r="I40">
        <f t="shared" si="0"/>
        <v>8.1393000000000004</v>
      </c>
    </row>
    <row r="41" spans="1:9">
      <c r="A41">
        <v>880958321</v>
      </c>
      <c r="B41" t="str">
        <f>_xlfn.XLOOKUP(A41,HMSD!C$2:C$49,HMSD!D$2:D$49)</f>
        <v>FUZE, FMU-152A/B JPF</v>
      </c>
      <c r="C41" t="str">
        <f>_xlfn.XLOOKUP($A41,HMSD!$C$2:$C$49,HMSD!E$2:E$49)</f>
        <v>1.2</v>
      </c>
      <c r="D41" t="str">
        <f>_xlfn.XLOOKUP($A41,HMSD!$C$2:$C$49,HMSD!F$2:F$49)</f>
        <v>F</v>
      </c>
      <c r="E41">
        <f>_xlfn.XLOOKUP($A41,HMSD!$C$2:$C$49,HMSD!G$2:G$49)</f>
        <v>0.1651</v>
      </c>
      <c r="F41" t="s">
        <v>11</v>
      </c>
      <c r="G41" t="str">
        <f>_xlfn.XLOOKUP(Inventory!F41,SLOC!A$2:A$6,SLOC!B$2:B$6)</f>
        <v>Location C</v>
      </c>
      <c r="H41">
        <v>84</v>
      </c>
      <c r="I41">
        <f t="shared" si="0"/>
        <v>13.868399999999999</v>
      </c>
    </row>
    <row r="42" spans="1:9">
      <c r="A42">
        <v>882316804</v>
      </c>
      <c r="B42" t="str">
        <f>_xlfn.XLOOKUP(A42,HMSD!C$2:C$49,HMSD!D$2:D$49)</f>
        <v>BOMB, GUIDED GP GBU-39/B SDB</v>
      </c>
      <c r="C42" t="str">
        <f>_xlfn.XLOOKUP($A42,HMSD!$C$2:$C$49,HMSD!E$2:E$49)</f>
        <v>1.2.3</v>
      </c>
      <c r="D42" t="str">
        <f>_xlfn.XLOOKUP($A42,HMSD!$C$2:$C$49,HMSD!F$2:F$49)</f>
        <v>D</v>
      </c>
      <c r="E42">
        <f>_xlfn.XLOOKUP($A42,HMSD!$C$2:$C$49,HMSD!G$2:G$49)</f>
        <v>16.782900000000001</v>
      </c>
      <c r="F42" t="s">
        <v>11</v>
      </c>
      <c r="G42" t="str">
        <f>_xlfn.XLOOKUP(Inventory!F42,SLOC!A$2:A$6,SLOC!B$2:B$6)</f>
        <v>Location C</v>
      </c>
      <c r="H42">
        <v>15</v>
      </c>
      <c r="I42">
        <f t="shared" si="0"/>
        <v>251.74350000000001</v>
      </c>
    </row>
    <row r="43" spans="1:9">
      <c r="A43">
        <v>886049183</v>
      </c>
      <c r="B43" t="str">
        <f>_xlfn.XLOOKUP(A43,HMSD!C$2:C$49,HMSD!D$2:D$49)</f>
        <v>FUZE, BOMB NOSE &amp; TAIL AN-M173A1</v>
      </c>
      <c r="C43" t="str">
        <f>_xlfn.XLOOKUP($A43,HMSD!$C$2:$C$49,HMSD!E$2:E$49)</f>
        <v>1.1</v>
      </c>
      <c r="D43" t="str">
        <f>_xlfn.XLOOKUP($A43,HMSD!$C$2:$C$49,HMSD!F$2:F$49)</f>
        <v>B</v>
      </c>
      <c r="E43">
        <f>_xlfn.XLOOKUP($A43,HMSD!$C$2:$C$49,HMSD!G$2:G$49)</f>
        <v>1.2699999999999999E-2</v>
      </c>
      <c r="F43" t="s">
        <v>11</v>
      </c>
      <c r="G43" t="str">
        <f>_xlfn.XLOOKUP(Inventory!F43,SLOC!A$2:A$6,SLOC!B$2:B$6)</f>
        <v>Location C</v>
      </c>
      <c r="H43">
        <v>61</v>
      </c>
      <c r="I43">
        <f t="shared" si="0"/>
        <v>0.77469999999999994</v>
      </c>
    </row>
    <row r="44" spans="1:9">
      <c r="A44">
        <v>888407265</v>
      </c>
      <c r="B44" t="str">
        <f>_xlfn.XLOOKUP(A44,HMSD!C$2:C$49,HMSD!D$2:D$49)</f>
        <v>IGNITER, BOMB WP M23</v>
      </c>
      <c r="C44" t="str">
        <f>_xlfn.XLOOKUP($A44,HMSD!$C$2:$C$49,HMSD!E$2:E$49)</f>
        <v>1.3</v>
      </c>
      <c r="D44" t="str">
        <f>_xlfn.XLOOKUP($A44,HMSD!$C$2:$C$49,HMSD!F$2:F$49)</f>
        <v>H</v>
      </c>
      <c r="E44">
        <f>_xlfn.XLOOKUP($A44,HMSD!$C$2:$C$49,HMSD!G$2:G$49)</f>
        <v>0.5897</v>
      </c>
      <c r="F44" t="s">
        <v>11</v>
      </c>
      <c r="G44" t="str">
        <f>_xlfn.XLOOKUP(Inventory!F44,SLOC!A$2:A$6,SLOC!B$2:B$6)</f>
        <v>Location C</v>
      </c>
      <c r="H44">
        <v>18</v>
      </c>
      <c r="I44">
        <f t="shared" si="0"/>
        <v>10.614599999999999</v>
      </c>
    </row>
    <row r="45" spans="1:9">
      <c r="A45">
        <v>883951472</v>
      </c>
      <c r="B45" t="str">
        <f>_xlfn.XLOOKUP(A45,HMSD!C$2:C$49,HMSD!D$2:D$49)</f>
        <v>INITIATOR, MK13-0 F/FIREBOMB (1325)</v>
      </c>
      <c r="C45" t="str">
        <f>_xlfn.XLOOKUP($A45,HMSD!$C$2:$C$49,HMSD!E$2:E$49)</f>
        <v>1.3</v>
      </c>
      <c r="D45" t="str">
        <f>_xlfn.XLOOKUP($A45,HMSD!$C$2:$C$49,HMSD!F$2:F$49)</f>
        <v>G</v>
      </c>
      <c r="E45">
        <f>_xlfn.XLOOKUP($A45,HMSD!$C$2:$C$49,HMSD!G$2:G$49)</f>
        <v>0.85729999999999995</v>
      </c>
      <c r="F45" t="s">
        <v>11</v>
      </c>
      <c r="G45" t="str">
        <f>_xlfn.XLOOKUP(Inventory!F45,SLOC!A$2:A$6,SLOC!B$2:B$6)</f>
        <v>Location C</v>
      </c>
      <c r="H45">
        <v>73</v>
      </c>
      <c r="I45">
        <f t="shared" si="0"/>
        <v>62.582899999999995</v>
      </c>
    </row>
    <row r="46" spans="1:9">
      <c r="A46">
        <v>888193642</v>
      </c>
      <c r="B46" t="str">
        <f>_xlfn.XLOOKUP(A46,HMSD!C$2:C$49,HMSD!D$2:D$49)</f>
        <v>CTG ASSY, F/LT WT EARTH ANCHOR (1377)</v>
      </c>
      <c r="C46" t="str">
        <f>_xlfn.XLOOKUP($A46,HMSD!$C$2:$C$49,HMSD!E$2:E$49)</f>
        <v>1.1</v>
      </c>
      <c r="D46" t="str">
        <f>_xlfn.XLOOKUP($A46,HMSD!$C$2:$C$49,HMSD!F$2:F$49)</f>
        <v>D</v>
      </c>
      <c r="E46">
        <f>_xlfn.XLOOKUP($A46,HMSD!$C$2:$C$49,HMSD!G$2:G$49)</f>
        <v>9.0700000000000003E-2</v>
      </c>
      <c r="F46" t="s">
        <v>11</v>
      </c>
      <c r="G46" t="str">
        <f>_xlfn.XLOOKUP(Inventory!F46,SLOC!A$2:A$6,SLOC!B$2:B$6)</f>
        <v>Location C</v>
      </c>
      <c r="H46">
        <v>5</v>
      </c>
      <c r="I46">
        <f t="shared" si="0"/>
        <v>0.45350000000000001</v>
      </c>
    </row>
    <row r="47" spans="1:9">
      <c r="A47">
        <v>880005724</v>
      </c>
      <c r="B47" t="str">
        <f>_xlfn.XLOOKUP(A47,HMSD!C$2:C$49,HMSD!D$2:D$49)</f>
        <v>PROPULSION ASSY F/5.125 IN MORTAR CHAFF (1320)</v>
      </c>
      <c r="C47" t="str">
        <f>_xlfn.XLOOKUP($A47,HMSD!$C$2:$C$49,HMSD!E$2:E$49)</f>
        <v>1.1</v>
      </c>
      <c r="D47" t="str">
        <f>_xlfn.XLOOKUP($A47,HMSD!$C$2:$C$49,HMSD!F$2:F$49)</f>
        <v>C</v>
      </c>
      <c r="E47">
        <f>_xlfn.XLOOKUP($A47,HMSD!$C$2:$C$49,HMSD!G$2:G$49)</f>
        <v>3.4099999999999998E-2</v>
      </c>
      <c r="F47" t="s">
        <v>11</v>
      </c>
      <c r="G47" t="str">
        <f>_xlfn.XLOOKUP(Inventory!F47,SLOC!A$2:A$6,SLOC!B$2:B$6)</f>
        <v>Location C</v>
      </c>
      <c r="H47">
        <v>22</v>
      </c>
      <c r="I47">
        <f t="shared" si="0"/>
        <v>0.75019999999999998</v>
      </c>
    </row>
    <row r="48" spans="1:9">
      <c r="A48">
        <v>885600034</v>
      </c>
      <c r="B48" t="str">
        <f>_xlfn.XLOOKUP(A48,HMSD!C$2:C$49,HMSD!D$2:D$49)</f>
        <v>POINT DETONATING FUZE</v>
      </c>
      <c r="C48" t="str">
        <f>_xlfn.XLOOKUP($A48,HMSD!$C$2:$C$49,HMSD!E$2:E$49)</f>
        <v>1.2</v>
      </c>
      <c r="D48" t="str">
        <f>_xlfn.XLOOKUP($A48,HMSD!$C$2:$C$49,HMSD!F$2:F$49)</f>
        <v>B</v>
      </c>
      <c r="E48">
        <f>_xlfn.XLOOKUP($A48,HMSD!$C$2:$C$49,HMSD!G$2:G$49)</f>
        <v>2.18E-2</v>
      </c>
      <c r="F48" t="s">
        <v>12</v>
      </c>
      <c r="G48" t="str">
        <f>_xlfn.XLOOKUP(Inventory!F48,SLOC!A$2:A$6,SLOC!B$2:B$6)</f>
        <v>Location D</v>
      </c>
      <c r="H48">
        <v>47</v>
      </c>
      <c r="I48">
        <f t="shared" si="0"/>
        <v>1.0246</v>
      </c>
    </row>
    <row r="49" spans="1:9">
      <c r="A49">
        <v>886935821</v>
      </c>
      <c r="B49" t="str">
        <f>_xlfn.XLOOKUP(A49,HMSD!C$2:C$49,HMSD!D$2:D$49)</f>
        <v>CTG, 20MM SAPHEI PGU-28A/B SNGL RD</v>
      </c>
      <c r="C49" t="str">
        <f>_xlfn.XLOOKUP($A49,HMSD!$C$2:$C$49,HMSD!E$2:E$49)</f>
        <v>1.2.2</v>
      </c>
      <c r="D49" t="str">
        <f>_xlfn.XLOOKUP($A49,HMSD!$C$2:$C$49,HMSD!F$2:F$49)</f>
        <v>E</v>
      </c>
      <c r="E49">
        <f>_xlfn.XLOOKUP($A49,HMSD!$C$2:$C$49,HMSD!G$2:G$49)</f>
        <v>1.09E-2</v>
      </c>
      <c r="F49" t="s">
        <v>12</v>
      </c>
      <c r="G49" t="str">
        <f>_xlfn.XLOOKUP(Inventory!F49,SLOC!A$2:A$6,SLOC!B$2:B$6)</f>
        <v>Location D</v>
      </c>
      <c r="H49">
        <v>82</v>
      </c>
      <c r="I49">
        <f t="shared" si="0"/>
        <v>0.89380000000000004</v>
      </c>
    </row>
    <row r="50" spans="1:9">
      <c r="A50">
        <v>884910285</v>
      </c>
      <c r="B50" t="str">
        <f>_xlfn.XLOOKUP(A50,HMSD!C$2:C$49,HMSD!D$2:D$49)</f>
        <v>CTG, 106MM HEP-T M346/A1</v>
      </c>
      <c r="C50" t="str">
        <f>_xlfn.XLOOKUP($A50,HMSD!$C$2:$C$49,HMSD!E$2:E$49)</f>
        <v>1.1</v>
      </c>
      <c r="D50" t="str">
        <f>_xlfn.XLOOKUP($A50,HMSD!$C$2:$C$49,HMSD!F$2:F$49)</f>
        <v>F</v>
      </c>
      <c r="E50">
        <f>_xlfn.XLOOKUP($A50,HMSD!$C$2:$C$49,HMSD!G$2:G$49)</f>
        <v>7.2107000000000001</v>
      </c>
      <c r="F50" t="s">
        <v>12</v>
      </c>
      <c r="G50" t="str">
        <f>_xlfn.XLOOKUP(Inventory!F50,SLOC!A$2:A$6,SLOC!B$2:B$6)</f>
        <v>Location D</v>
      </c>
      <c r="H50">
        <v>19</v>
      </c>
      <c r="I50">
        <f t="shared" si="0"/>
        <v>137.0033</v>
      </c>
    </row>
    <row r="51" spans="1:9">
      <c r="A51">
        <v>880958321</v>
      </c>
      <c r="B51" t="str">
        <f>_xlfn.XLOOKUP(A51,HMSD!C$2:C$49,HMSD!D$2:D$49)</f>
        <v>FUZE, FMU-152A/B JPF</v>
      </c>
      <c r="C51" t="str">
        <f>_xlfn.XLOOKUP($A51,HMSD!$C$2:$C$49,HMSD!E$2:E$49)</f>
        <v>1.2</v>
      </c>
      <c r="D51" t="str">
        <f>_xlfn.XLOOKUP($A51,HMSD!$C$2:$C$49,HMSD!F$2:F$49)</f>
        <v>F</v>
      </c>
      <c r="E51">
        <f>_xlfn.XLOOKUP($A51,HMSD!$C$2:$C$49,HMSD!G$2:G$49)</f>
        <v>0.1651</v>
      </c>
      <c r="F51" t="s">
        <v>12</v>
      </c>
      <c r="G51" t="str">
        <f>_xlfn.XLOOKUP(Inventory!F51,SLOC!A$2:A$6,SLOC!B$2:B$6)</f>
        <v>Location D</v>
      </c>
      <c r="H51">
        <v>65</v>
      </c>
      <c r="I51">
        <f t="shared" si="0"/>
        <v>10.7315</v>
      </c>
    </row>
    <row r="52" spans="1:9">
      <c r="A52">
        <v>888407265</v>
      </c>
      <c r="B52" t="str">
        <f>_xlfn.XLOOKUP(A52,HMSD!C$2:C$49,HMSD!D$2:D$49)</f>
        <v>IGNITER, BOMB WP M23</v>
      </c>
      <c r="C52" t="str">
        <f>_xlfn.XLOOKUP($A52,HMSD!$C$2:$C$49,HMSD!E$2:E$49)</f>
        <v>1.3</v>
      </c>
      <c r="D52" t="str">
        <f>_xlfn.XLOOKUP($A52,HMSD!$C$2:$C$49,HMSD!F$2:F$49)</f>
        <v>H</v>
      </c>
      <c r="E52">
        <f>_xlfn.XLOOKUP($A52,HMSD!$C$2:$C$49,HMSD!G$2:G$49)</f>
        <v>0.5897</v>
      </c>
      <c r="F52" t="s">
        <v>12</v>
      </c>
      <c r="G52" t="str">
        <f>_xlfn.XLOOKUP(Inventory!F52,SLOC!A$2:A$6,SLOC!B$2:B$6)</f>
        <v>Location D</v>
      </c>
      <c r="H52">
        <v>34</v>
      </c>
      <c r="I52">
        <f t="shared" si="0"/>
        <v>20.049800000000001</v>
      </c>
    </row>
    <row r="53" spans="1:9">
      <c r="A53">
        <v>885600034</v>
      </c>
      <c r="B53" t="str">
        <f>_xlfn.XLOOKUP(A53,HMSD!C$2:C$49,HMSD!D$2:D$49)</f>
        <v>POINT DETONATING FUZE</v>
      </c>
      <c r="C53" t="str">
        <f>_xlfn.XLOOKUP($A53,HMSD!$C$2:$C$49,HMSD!E$2:E$49)</f>
        <v>1.2</v>
      </c>
      <c r="D53" t="str">
        <f>_xlfn.XLOOKUP($A53,HMSD!$C$2:$C$49,HMSD!F$2:F$49)</f>
        <v>B</v>
      </c>
      <c r="E53">
        <f>_xlfn.XLOOKUP($A53,HMSD!$C$2:$C$49,HMSD!G$2:G$49)</f>
        <v>2.18E-2</v>
      </c>
      <c r="F53" t="s">
        <v>13</v>
      </c>
      <c r="G53" t="str">
        <f>_xlfn.XLOOKUP(Inventory!F53,SLOC!A$2:A$6,SLOC!B$2:B$6)</f>
        <v>Location E</v>
      </c>
      <c r="H53">
        <v>72</v>
      </c>
      <c r="I53">
        <f t="shared" si="0"/>
        <v>1.5695999999999999</v>
      </c>
    </row>
    <row r="54" spans="1:9">
      <c r="A54">
        <v>883317492</v>
      </c>
      <c r="B54" t="str">
        <f>_xlfn.XLOOKUP(A54,HMSD!C$2:C$49,HMSD!D$2:D$49)</f>
        <v>CARTRIDGES, POWER DEVICE</v>
      </c>
      <c r="C54" t="str">
        <f>_xlfn.XLOOKUP($A54,HMSD!$C$2:$C$49,HMSD!E$2:E$49)</f>
        <v>1.2</v>
      </c>
      <c r="D54" t="str">
        <f>_xlfn.XLOOKUP($A54,HMSD!$C$2:$C$49,HMSD!F$2:F$49)</f>
        <v>C</v>
      </c>
      <c r="E54">
        <f>_xlfn.XLOOKUP($A54,HMSD!$C$2:$C$49,HMSD!G$2:G$49)</f>
        <v>5.4600000000000003E-2</v>
      </c>
      <c r="F54" t="s">
        <v>13</v>
      </c>
      <c r="G54" t="str">
        <f>_xlfn.XLOOKUP(Inventory!F54,SLOC!A$2:A$6,SLOC!B$2:B$6)</f>
        <v>Location E</v>
      </c>
      <c r="H54">
        <v>35</v>
      </c>
      <c r="I54">
        <f t="shared" si="0"/>
        <v>1.911</v>
      </c>
    </row>
    <row r="55" spans="1:9">
      <c r="A55">
        <v>888093467</v>
      </c>
      <c r="B55" t="str">
        <f>_xlfn.XLOOKUP(A55,HMSD!C$2:C$49,HMSD!D$2:D$49)</f>
        <v>CTG, 5.56MM 4 AP M995/1 TR M856</v>
      </c>
      <c r="C55" t="str">
        <f>_xlfn.XLOOKUP($A55,HMSD!$C$2:$C$49,HMSD!E$2:E$49)</f>
        <v>1.4</v>
      </c>
      <c r="D55" t="str">
        <f>_xlfn.XLOOKUP($A55,HMSD!$C$2:$C$49,HMSD!F$2:F$49)</f>
        <v>S</v>
      </c>
      <c r="E55">
        <f>_xlfn.XLOOKUP($A55,HMSD!$C$2:$C$49,HMSD!G$2:G$49)</f>
        <v>2.0999999999999999E-3</v>
      </c>
      <c r="F55" t="s">
        <v>13</v>
      </c>
      <c r="G55" t="str">
        <f>_xlfn.XLOOKUP(Inventory!F55,SLOC!A$2:A$6,SLOC!B$2:B$6)</f>
        <v>Location E</v>
      </c>
      <c r="H55">
        <v>88</v>
      </c>
      <c r="I55">
        <f t="shared" si="0"/>
        <v>0.18479999999999999</v>
      </c>
    </row>
    <row r="56" spans="1:9">
      <c r="A56">
        <v>886182049</v>
      </c>
      <c r="B56" t="str">
        <f>_xlfn.XLOOKUP(A56,HMSD!C$2:C$49,HMSD!D$2:D$49)</f>
        <v>CTG, 7.62MM AP M993 SNGL RD</v>
      </c>
      <c r="C56" t="str">
        <f>_xlfn.XLOOKUP($A56,HMSD!$C$2:$C$49,HMSD!E$2:E$49)</f>
        <v>1.4</v>
      </c>
      <c r="D56" t="str">
        <f>_xlfn.XLOOKUP($A56,HMSD!$C$2:$C$49,HMSD!F$2:F$49)</f>
        <v>C</v>
      </c>
      <c r="E56">
        <f>_xlfn.XLOOKUP($A56,HMSD!$C$2:$C$49,HMSD!G$2:G$49)</f>
        <v>2.8999999999999998E-3</v>
      </c>
      <c r="F56" t="s">
        <v>13</v>
      </c>
      <c r="G56" t="str">
        <f>_xlfn.XLOOKUP(Inventory!F56,SLOC!A$2:A$6,SLOC!B$2:B$6)</f>
        <v>Location E</v>
      </c>
      <c r="H56">
        <v>17</v>
      </c>
      <c r="I56">
        <f t="shared" si="0"/>
        <v>4.9299999999999997E-2</v>
      </c>
    </row>
    <row r="57" spans="1:9">
      <c r="A57">
        <v>887612509</v>
      </c>
      <c r="B57" t="str">
        <f>_xlfn.XLOOKUP(A57,HMSD!C$2:C$49,HMSD!D$2:D$49)</f>
        <v>CTG, CAL .50 1 API MK211-0/1 AP M2/1 API-T M20</v>
      </c>
      <c r="C57" t="str">
        <f>_xlfn.XLOOKUP($A57,HMSD!$C$2:$C$49,HMSD!E$2:E$49)</f>
        <v>1.2.2</v>
      </c>
      <c r="D57" t="str">
        <f>_xlfn.XLOOKUP($A57,HMSD!$C$2:$C$49,HMSD!F$2:F$49)</f>
        <v>G</v>
      </c>
      <c r="E57">
        <f>_xlfn.XLOOKUP($A57,HMSD!$C$2:$C$49,HMSD!G$2:G$49)</f>
        <v>5.9999999999999995E-4</v>
      </c>
      <c r="F57" t="s">
        <v>13</v>
      </c>
      <c r="G57" t="str">
        <f>_xlfn.XLOOKUP(Inventory!F57,SLOC!A$2:A$6,SLOC!B$2:B$6)</f>
        <v>Location E</v>
      </c>
      <c r="H57">
        <v>50</v>
      </c>
      <c r="I57">
        <f t="shared" si="0"/>
        <v>0.03</v>
      </c>
    </row>
    <row r="58" spans="1:9">
      <c r="A58">
        <v>886935821</v>
      </c>
      <c r="B58" t="str">
        <f>_xlfn.XLOOKUP(A58,HMSD!C$2:C$49,HMSD!D$2:D$49)</f>
        <v>CTG, 20MM SAPHEI PGU-28A/B SNGL RD</v>
      </c>
      <c r="C58" t="str">
        <f>_xlfn.XLOOKUP($A58,HMSD!$C$2:$C$49,HMSD!E$2:E$49)</f>
        <v>1.2.2</v>
      </c>
      <c r="D58" t="str">
        <f>_xlfn.XLOOKUP($A58,HMSD!$C$2:$C$49,HMSD!F$2:F$49)</f>
        <v>E</v>
      </c>
      <c r="E58">
        <f>_xlfn.XLOOKUP($A58,HMSD!$C$2:$C$49,HMSD!G$2:G$49)</f>
        <v>1.09E-2</v>
      </c>
      <c r="F58" t="s">
        <v>13</v>
      </c>
      <c r="G58" t="str">
        <f>_xlfn.XLOOKUP(Inventory!F58,SLOC!A$2:A$6,SLOC!B$2:B$6)</f>
        <v>Location E</v>
      </c>
      <c r="H58">
        <v>64</v>
      </c>
      <c r="I58">
        <f t="shared" si="0"/>
        <v>0.6976</v>
      </c>
    </row>
    <row r="59" spans="1:9">
      <c r="A59">
        <v>884708253</v>
      </c>
      <c r="B59" t="str">
        <f>_xlfn.XLOOKUP(A59,HMSD!C$2:C$49,HMSD!D$2:D$49)</f>
        <v>CTG, CAL .50 4 API M8/1 API-DT MK257-0</v>
      </c>
      <c r="C59" t="str">
        <f>_xlfn.XLOOKUP($A59,HMSD!$C$2:$C$49,HMSD!E$2:E$49)</f>
        <v>1.4</v>
      </c>
      <c r="D59" t="str">
        <f>_xlfn.XLOOKUP($A59,HMSD!$C$2:$C$49,HMSD!F$2:F$49)</f>
        <v>G</v>
      </c>
      <c r="E59">
        <f>_xlfn.XLOOKUP($A59,HMSD!$C$2:$C$49,HMSD!G$2:G$49)</f>
        <v>1.6400000000000001E-2</v>
      </c>
      <c r="F59" t="s">
        <v>13</v>
      </c>
      <c r="G59" t="str">
        <f>_xlfn.XLOOKUP(Inventory!F59,SLOC!A$2:A$6,SLOC!B$2:B$6)</f>
        <v>Location E</v>
      </c>
      <c r="H59">
        <v>28</v>
      </c>
      <c r="I59">
        <f t="shared" si="0"/>
        <v>0.45920000000000005</v>
      </c>
    </row>
    <row r="60" spans="1:9">
      <c r="A60">
        <v>883478905</v>
      </c>
      <c r="B60" t="str">
        <f>_xlfn.XLOOKUP(A60,HMSD!C$2:C$49,HMSD!D$2:D$49)</f>
        <v>CTG, 30MM X 173MM, APFSDS-T, MK258 MOD 1</v>
      </c>
      <c r="C60" t="str">
        <f>_xlfn.XLOOKUP($A60,HMSD!$C$2:$C$49,HMSD!E$2:E$49)</f>
        <v>1.2.2</v>
      </c>
      <c r="D60" t="str">
        <f>_xlfn.XLOOKUP($A60,HMSD!$C$2:$C$49,HMSD!F$2:F$49)</f>
        <v>C</v>
      </c>
      <c r="E60">
        <f>_xlfn.XLOOKUP($A60,HMSD!$C$2:$C$49,HMSD!G$2:G$49)</f>
        <v>0.18579999999999999</v>
      </c>
      <c r="F60" t="s">
        <v>13</v>
      </c>
      <c r="G60" t="str">
        <f>_xlfn.XLOOKUP(Inventory!F60,SLOC!A$2:A$6,SLOC!B$2:B$6)</f>
        <v>Location E</v>
      </c>
      <c r="H60">
        <v>91</v>
      </c>
      <c r="I60">
        <f t="shared" si="0"/>
        <v>16.907799999999998</v>
      </c>
    </row>
    <row r="61" spans="1:9">
      <c r="A61">
        <v>880083529</v>
      </c>
      <c r="B61" t="str">
        <f>_xlfn.XLOOKUP(A61,HMSD!C$2:C$49,HMSD!D$2:D$49)</f>
        <v>CTG, 105MM CLEARING (1315)</v>
      </c>
      <c r="C61" t="str">
        <f>_xlfn.XLOOKUP($A61,HMSD!$C$2:$C$49,HMSD!E$2:E$49)</f>
        <v>1.3</v>
      </c>
      <c r="D61" t="str">
        <f>_xlfn.XLOOKUP($A61,HMSD!$C$2:$C$49,HMSD!F$2:F$49)</f>
        <v>C</v>
      </c>
      <c r="E61">
        <f>_xlfn.XLOOKUP($A61,HMSD!$C$2:$C$49,HMSD!G$2:G$49)</f>
        <v>1.3153999999999999</v>
      </c>
      <c r="F61" t="s">
        <v>13</v>
      </c>
      <c r="G61" t="str">
        <f>_xlfn.XLOOKUP(Inventory!F61,SLOC!A$2:A$6,SLOC!B$2:B$6)</f>
        <v>Location E</v>
      </c>
      <c r="H61">
        <v>12</v>
      </c>
      <c r="I61">
        <f t="shared" si="0"/>
        <v>15.784799999999999</v>
      </c>
    </row>
    <row r="62" spans="1:9">
      <c r="A62">
        <v>884567819</v>
      </c>
      <c r="B62" t="str">
        <f>_xlfn.XLOOKUP(A62,HMSD!C$2:C$49,HMSD!D$2:D$49)</f>
        <v>CTG, 40MM RED SMK M713 SNGL RD</v>
      </c>
      <c r="C62" t="str">
        <f>_xlfn.XLOOKUP($A62,HMSD!$C$2:$C$49,HMSD!E$2:E$49)</f>
        <v>1.2</v>
      </c>
      <c r="D62" t="str">
        <f>_xlfn.XLOOKUP($A62,HMSD!$C$2:$C$49,HMSD!F$2:F$49)</f>
        <v>L</v>
      </c>
      <c r="E62">
        <f>_xlfn.XLOOKUP($A62,HMSD!$C$2:$C$49,HMSD!G$2:G$49)</f>
        <v>7.8100000000000003E-2</v>
      </c>
      <c r="F62" t="s">
        <v>13</v>
      </c>
      <c r="G62" t="str">
        <f>_xlfn.XLOOKUP(Inventory!F62,SLOC!A$2:A$6,SLOC!B$2:B$6)</f>
        <v>Location E</v>
      </c>
      <c r="H62">
        <v>55</v>
      </c>
      <c r="I62">
        <f t="shared" si="0"/>
        <v>4.2955000000000005</v>
      </c>
    </row>
    <row r="63" spans="1:9">
      <c r="A63">
        <v>880571934</v>
      </c>
      <c r="B63" t="str">
        <f>_xlfn.XLOOKUP(A63,HMSD!C$2:C$49,HMSD!D$2:D$49)</f>
        <v>CTG, 60MM WP SMOKE M722A1</v>
      </c>
      <c r="C63" t="str">
        <f>_xlfn.XLOOKUP($A63,HMSD!$C$2:$C$49,HMSD!E$2:E$49)</f>
        <v>1.2.2</v>
      </c>
      <c r="D63" t="str">
        <f>_xlfn.XLOOKUP($A63,HMSD!$C$2:$C$49,HMSD!F$2:F$49)</f>
        <v>H</v>
      </c>
      <c r="E63">
        <f>_xlfn.XLOOKUP($A63,HMSD!$C$2:$C$49,HMSD!G$2:G$49)</f>
        <v>4.82E-2</v>
      </c>
      <c r="F63" t="s">
        <v>13</v>
      </c>
      <c r="G63" t="str">
        <f>_xlfn.XLOOKUP(Inventory!F63,SLOC!A$2:A$6,SLOC!B$2:B$6)</f>
        <v>Location E</v>
      </c>
      <c r="H63">
        <v>77</v>
      </c>
      <c r="I63">
        <f t="shared" si="0"/>
        <v>3.7113999999999998</v>
      </c>
    </row>
    <row r="64" spans="1:9">
      <c r="A64">
        <v>880341965</v>
      </c>
      <c r="B64" t="str">
        <f>_xlfn.XLOOKUP(A64,HMSD!C$2:C$49,HMSD!D$2:D$49)</f>
        <v>CTG, 105MM SMK WP M60A2 SER</v>
      </c>
      <c r="C64" t="str">
        <f>_xlfn.XLOOKUP($A64,HMSD!$C$2:$C$49,HMSD!E$2:E$49)</f>
        <v>1.4</v>
      </c>
      <c r="D64" t="str">
        <f>_xlfn.XLOOKUP($A64,HMSD!$C$2:$C$49,HMSD!F$2:F$49)</f>
        <v>F</v>
      </c>
      <c r="E64">
        <f>_xlfn.XLOOKUP($A64,HMSD!$C$2:$C$49,HMSD!G$2:G$49)</f>
        <v>1.7000999999999999</v>
      </c>
      <c r="F64" t="s">
        <v>13</v>
      </c>
      <c r="G64" t="str">
        <f>_xlfn.XLOOKUP(Inventory!F64,SLOC!A$2:A$6,SLOC!B$2:B$6)</f>
        <v>Location E</v>
      </c>
      <c r="H64">
        <v>41</v>
      </c>
      <c r="I64">
        <f t="shared" si="0"/>
        <v>69.704099999999997</v>
      </c>
    </row>
    <row r="65" spans="1:9">
      <c r="A65">
        <v>882194068</v>
      </c>
      <c r="B65" t="str">
        <f>_xlfn.XLOOKUP(A65,HMSD!C$2:C$49,HMSD!D$2:D$49)</f>
        <v>CTG MORTAR, 120MM SMK WP XM/M929</v>
      </c>
      <c r="C65" t="str">
        <f>_xlfn.XLOOKUP($A65,HMSD!$C$2:$C$49,HMSD!E$2:E$49)</f>
        <v>1.2</v>
      </c>
      <c r="D65" t="str">
        <f>_xlfn.XLOOKUP($A65,HMSD!$C$2:$C$49,HMSD!F$2:F$49)</f>
        <v>H</v>
      </c>
      <c r="E65">
        <f>_xlfn.XLOOKUP($A65,HMSD!$C$2:$C$49,HMSD!G$2:G$49)</f>
        <v>0.66649999999999998</v>
      </c>
      <c r="F65" t="s">
        <v>13</v>
      </c>
      <c r="G65" t="str">
        <f>_xlfn.XLOOKUP(Inventory!F65,SLOC!A$2:A$6,SLOC!B$2:B$6)</f>
        <v>Location E</v>
      </c>
      <c r="H65">
        <v>7</v>
      </c>
      <c r="I65">
        <f t="shared" si="0"/>
        <v>4.6654999999999998</v>
      </c>
    </row>
    <row r="66" spans="1:9">
      <c r="A66">
        <v>884910285</v>
      </c>
      <c r="B66" t="str">
        <f>_xlfn.XLOOKUP(A66,HMSD!C$2:C$49,HMSD!D$2:D$49)</f>
        <v>CTG, 106MM HEP-T M346/A1</v>
      </c>
      <c r="C66" t="str">
        <f>_xlfn.XLOOKUP($A66,HMSD!$C$2:$C$49,HMSD!E$2:E$49)</f>
        <v>1.1</v>
      </c>
      <c r="D66" t="str">
        <f>_xlfn.XLOOKUP($A66,HMSD!$C$2:$C$49,HMSD!F$2:F$49)</f>
        <v>F</v>
      </c>
      <c r="E66">
        <f>_xlfn.XLOOKUP($A66,HMSD!$C$2:$C$49,HMSD!G$2:G$49)</f>
        <v>7.2107000000000001</v>
      </c>
      <c r="F66" t="s">
        <v>13</v>
      </c>
      <c r="G66" t="str">
        <f>_xlfn.XLOOKUP(Inventory!F66,SLOC!A$2:A$6,SLOC!B$2:B$6)</f>
        <v>Location E</v>
      </c>
      <c r="H66">
        <v>98</v>
      </c>
      <c r="I66">
        <f t="shared" si="0"/>
        <v>706.64859999999999</v>
      </c>
    </row>
    <row r="67" spans="1:9">
      <c r="A67">
        <v>886481907</v>
      </c>
      <c r="B67" t="str">
        <f>_xlfn.XLOOKUP(A67,HMSD!C$2:C$49,HMSD!D$2:D$49)</f>
        <v>CTG. 4.2 IN ILLUM M335 SERIES</v>
      </c>
      <c r="C67" t="str">
        <f>_xlfn.XLOOKUP($A67,HMSD!$C$2:$C$49,HMSD!E$2:E$49)</f>
        <v>1.2</v>
      </c>
      <c r="D67" t="str">
        <f>_xlfn.XLOOKUP($A67,HMSD!$C$2:$C$49,HMSD!F$2:F$49)</f>
        <v>G</v>
      </c>
      <c r="E67">
        <f>_xlfn.XLOOKUP($A67,HMSD!$C$2:$C$49,HMSD!G$2:G$49)</f>
        <v>1.8862000000000001</v>
      </c>
      <c r="F67" t="s">
        <v>13</v>
      </c>
      <c r="G67" t="str">
        <f>_xlfn.XLOOKUP(Inventory!F67,SLOC!A$2:A$6,SLOC!B$2:B$6)</f>
        <v>Location E</v>
      </c>
      <c r="H67">
        <v>39</v>
      </c>
      <c r="I67">
        <f t="shared" ref="I67:I71" si="1">E67*H67</f>
        <v>73.561800000000005</v>
      </c>
    </row>
    <row r="68" spans="1:9">
      <c r="A68">
        <v>889514680</v>
      </c>
      <c r="B68" t="str">
        <f>_xlfn.XLOOKUP(A68,HMSD!C$2:C$49,HMSD!D$2:D$49)</f>
        <v>CTG. 4.2 IN ILLUM M999 SERIES</v>
      </c>
      <c r="C68" t="str">
        <f>_xlfn.XLOOKUP($A68,HMSD!$C$2:$C$49,HMSD!E$2:E$49)</f>
        <v>1.4</v>
      </c>
      <c r="D68" t="str">
        <f>_xlfn.XLOOKUP($A68,HMSD!$C$2:$C$49,HMSD!F$2:F$49)</f>
        <v>E</v>
      </c>
      <c r="E68">
        <f>_xlfn.XLOOKUP($A68,HMSD!$C$2:$C$49,HMSD!G$2:G$49)</f>
        <v>1.8862000000000001</v>
      </c>
      <c r="F68" t="s">
        <v>13</v>
      </c>
      <c r="G68" t="str">
        <f>_xlfn.XLOOKUP(Inventory!F68,SLOC!A$2:A$6,SLOC!B$2:B$6)</f>
        <v>Location E</v>
      </c>
      <c r="H68">
        <v>21</v>
      </c>
      <c r="I68">
        <f t="shared" si="1"/>
        <v>39.610199999999999</v>
      </c>
    </row>
    <row r="69" spans="1:9">
      <c r="A69">
        <v>887842065</v>
      </c>
      <c r="B69" t="str">
        <f>_xlfn.XLOOKUP(A69,HMSD!C$2:C$49,HMSD!D$2:D$49)</f>
        <v>CTG &amp; LAUNCHER, 84MM CS RS</v>
      </c>
      <c r="C69" t="str">
        <f>_xlfn.XLOOKUP($A69,HMSD!$C$2:$C$49,HMSD!E$2:E$49)</f>
        <v>1.2</v>
      </c>
      <c r="D69" t="str">
        <f>_xlfn.XLOOKUP($A69,HMSD!$C$2:$C$49,HMSD!F$2:F$49)</f>
        <v>E</v>
      </c>
      <c r="E69">
        <f>_xlfn.XLOOKUP($A69,HMSD!$C$2:$C$49,HMSD!G$2:G$49)</f>
        <v>0.57740000000000002</v>
      </c>
      <c r="F69" t="s">
        <v>13</v>
      </c>
      <c r="G69" t="str">
        <f>_xlfn.XLOOKUP(Inventory!F69,SLOC!A$2:A$6,SLOC!B$2:B$6)</f>
        <v>Location E</v>
      </c>
      <c r="H69">
        <v>63</v>
      </c>
      <c r="I69">
        <f t="shared" si="1"/>
        <v>36.376200000000004</v>
      </c>
    </row>
    <row r="70" spans="1:9">
      <c r="A70">
        <v>888294156</v>
      </c>
      <c r="B70" t="str">
        <f>_xlfn.XLOOKUP(A70,HMSD!C$2:C$49,HMSD!D$2:D$49)</f>
        <v>CTG MORTAR, 120MM SMOKE WP M1103 EFSS</v>
      </c>
      <c r="C70" t="str">
        <f>_xlfn.XLOOKUP($A70,HMSD!$C$2:$C$49,HMSD!E$2:E$49)</f>
        <v>1.2.1</v>
      </c>
      <c r="D70" t="str">
        <f>_xlfn.XLOOKUP($A70,HMSD!$C$2:$C$49,HMSD!F$2:F$49)</f>
        <v>H</v>
      </c>
      <c r="E70">
        <f>_xlfn.XLOOKUP($A70,HMSD!$C$2:$C$49,HMSD!G$2:G$49)</f>
        <v>0.89810000000000001</v>
      </c>
      <c r="F70" t="s">
        <v>13</v>
      </c>
      <c r="G70" t="str">
        <f>_xlfn.XLOOKUP(Inventory!F70,SLOC!A$2:A$6,SLOC!B$2:B$6)</f>
        <v>Location E</v>
      </c>
      <c r="H70">
        <v>44</v>
      </c>
      <c r="I70">
        <f t="shared" si="1"/>
        <v>39.516399999999997</v>
      </c>
    </row>
    <row r="71" spans="1:9">
      <c r="A71">
        <v>880009632</v>
      </c>
      <c r="B71" t="str">
        <f>_xlfn.XLOOKUP(A71,HMSD!C$2:C$49,HMSD!D$2:D$49)</f>
        <v>CHG, PROP 155MM M19</v>
      </c>
      <c r="C71" t="str">
        <f>_xlfn.XLOOKUP($A71,HMSD!$C$2:$C$49,HMSD!E$2:E$49)</f>
        <v>1.2</v>
      </c>
      <c r="D71" t="str">
        <f>_xlfn.XLOOKUP($A71,HMSD!$C$2:$C$49,HMSD!F$2:F$49)</f>
        <v>K</v>
      </c>
      <c r="E71">
        <f>_xlfn.XLOOKUP($A71,HMSD!$C$2:$C$49,HMSD!G$2:G$49)</f>
        <v>14.061400000000001</v>
      </c>
      <c r="F71" t="s">
        <v>13</v>
      </c>
      <c r="G71" t="str">
        <f>_xlfn.XLOOKUP(Inventory!F71,SLOC!A$2:A$6,SLOC!B$2:B$6)</f>
        <v>Location E</v>
      </c>
      <c r="H71">
        <v>9</v>
      </c>
      <c r="I71">
        <f t="shared" si="1"/>
        <v>126.55260000000001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E929-0F2C-B346-BF5E-237CB9DB6687}">
  <dimension ref="A1:G49"/>
  <sheetViews>
    <sheetView tabSelected="1" zoomScale="125" workbookViewId="0">
      <selection activeCell="C2" sqref="C2"/>
    </sheetView>
  </sheetViews>
  <sheetFormatPr defaultColWidth="11" defaultRowHeight="15.95"/>
  <cols>
    <col min="1" max="2" width="22.5" customWidth="1"/>
    <col min="3" max="3" width="20.5" customWidth="1"/>
    <col min="4" max="4" width="48.5" customWidth="1"/>
    <col min="5" max="5" width="13.125" customWidth="1"/>
    <col min="6" max="6" width="19.375" customWidth="1"/>
  </cols>
  <sheetData>
    <row r="1" spans="1:7">
      <c r="A1" s="2" t="s">
        <v>14</v>
      </c>
      <c r="B1" s="2" t="s">
        <v>15</v>
      </c>
      <c r="C1" s="2" t="s">
        <v>0</v>
      </c>
      <c r="D1" s="2" t="s">
        <v>16</v>
      </c>
      <c r="E1" s="2" t="s">
        <v>17</v>
      </c>
      <c r="F1" s="2" t="s">
        <v>3</v>
      </c>
      <c r="G1" s="2" t="s">
        <v>18</v>
      </c>
    </row>
    <row r="2" spans="1:7">
      <c r="A2" s="1" t="s">
        <v>19</v>
      </c>
      <c r="B2">
        <v>1390</v>
      </c>
      <c r="C2">
        <v>885600034</v>
      </c>
      <c r="D2" t="s">
        <v>20</v>
      </c>
      <c r="E2" s="1" t="s">
        <v>21</v>
      </c>
      <c r="F2" t="s">
        <v>22</v>
      </c>
      <c r="G2">
        <v>2.18E-2</v>
      </c>
    </row>
    <row r="3" spans="1:7">
      <c r="A3" s="1" t="s">
        <v>23</v>
      </c>
      <c r="B3">
        <v>1310</v>
      </c>
      <c r="C3">
        <v>883317492</v>
      </c>
      <c r="D3" t="s">
        <v>24</v>
      </c>
      <c r="E3" s="1" t="s">
        <v>21</v>
      </c>
      <c r="F3" t="s">
        <v>25</v>
      </c>
      <c r="G3">
        <v>5.4600000000000003E-2</v>
      </c>
    </row>
    <row r="4" spans="1:7">
      <c r="A4" t="s">
        <v>26</v>
      </c>
      <c r="B4">
        <v>1305</v>
      </c>
      <c r="C4">
        <v>888093467</v>
      </c>
      <c r="D4" t="s">
        <v>27</v>
      </c>
      <c r="E4" s="1" t="s">
        <v>28</v>
      </c>
      <c r="F4" t="s">
        <v>29</v>
      </c>
      <c r="G4">
        <v>2.0999999999999999E-3</v>
      </c>
    </row>
    <row r="5" spans="1:7">
      <c r="A5" t="s">
        <v>30</v>
      </c>
      <c r="B5">
        <v>1305</v>
      </c>
      <c r="C5">
        <v>886182049</v>
      </c>
      <c r="D5" t="s">
        <v>31</v>
      </c>
      <c r="E5" s="1" t="s">
        <v>28</v>
      </c>
      <c r="F5" t="s">
        <v>25</v>
      </c>
      <c r="G5">
        <v>2.8999999999999998E-3</v>
      </c>
    </row>
    <row r="6" spans="1:7">
      <c r="A6" t="s">
        <v>32</v>
      </c>
      <c r="B6">
        <v>1305</v>
      </c>
      <c r="C6">
        <v>887612509</v>
      </c>
      <c r="D6" t="s">
        <v>33</v>
      </c>
      <c r="E6" s="1" t="s">
        <v>34</v>
      </c>
      <c r="F6" t="s">
        <v>35</v>
      </c>
      <c r="G6">
        <v>5.9999999999999995E-4</v>
      </c>
    </row>
    <row r="7" spans="1:7">
      <c r="A7" t="s">
        <v>36</v>
      </c>
      <c r="B7">
        <v>1305</v>
      </c>
      <c r="C7">
        <v>886935821</v>
      </c>
      <c r="D7" t="s">
        <v>37</v>
      </c>
      <c r="E7" s="1" t="s">
        <v>34</v>
      </c>
      <c r="F7" t="s">
        <v>38</v>
      </c>
      <c r="G7">
        <v>1.09E-2</v>
      </c>
    </row>
    <row r="8" spans="1:7">
      <c r="A8" t="s">
        <v>39</v>
      </c>
      <c r="B8">
        <v>1305</v>
      </c>
      <c r="C8">
        <v>884708253</v>
      </c>
      <c r="D8" t="s">
        <v>40</v>
      </c>
      <c r="E8" s="1" t="s">
        <v>28</v>
      </c>
      <c r="F8" t="s">
        <v>35</v>
      </c>
      <c r="G8">
        <v>1.6400000000000001E-2</v>
      </c>
    </row>
    <row r="9" spans="1:7">
      <c r="A9" t="s">
        <v>41</v>
      </c>
      <c r="B9">
        <v>1305</v>
      </c>
      <c r="C9">
        <v>883478905</v>
      </c>
      <c r="D9" t="s">
        <v>42</v>
      </c>
      <c r="E9" s="1" t="s">
        <v>34</v>
      </c>
      <c r="F9" t="s">
        <v>25</v>
      </c>
      <c r="G9">
        <v>0.18579999999999999</v>
      </c>
    </row>
    <row r="10" spans="1:7">
      <c r="A10" t="s">
        <v>43</v>
      </c>
      <c r="B10">
        <v>1305</v>
      </c>
      <c r="C10">
        <v>880083529</v>
      </c>
      <c r="D10" t="s">
        <v>44</v>
      </c>
      <c r="E10" s="1" t="s">
        <v>45</v>
      </c>
      <c r="F10" t="s">
        <v>25</v>
      </c>
      <c r="G10">
        <v>1.3153999999999999</v>
      </c>
    </row>
    <row r="11" spans="1:7" ht="17.100000000000001">
      <c r="A11" s="1" t="s">
        <v>46</v>
      </c>
      <c r="B11">
        <v>1310</v>
      </c>
      <c r="C11">
        <v>884567819</v>
      </c>
      <c r="D11" s="3" t="s">
        <v>47</v>
      </c>
      <c r="E11" s="1" t="s">
        <v>21</v>
      </c>
      <c r="F11" t="s">
        <v>48</v>
      </c>
      <c r="G11">
        <v>7.8100000000000003E-2</v>
      </c>
    </row>
    <row r="12" spans="1:7">
      <c r="A12" t="s">
        <v>49</v>
      </c>
      <c r="B12">
        <v>1305</v>
      </c>
      <c r="C12">
        <v>880571934</v>
      </c>
      <c r="D12" t="s">
        <v>50</v>
      </c>
      <c r="E12" t="s">
        <v>34</v>
      </c>
      <c r="F12" t="s">
        <v>51</v>
      </c>
      <c r="G12">
        <v>4.82E-2</v>
      </c>
    </row>
    <row r="13" spans="1:7" ht="17.100000000000001">
      <c r="A13" s="1" t="s">
        <v>52</v>
      </c>
      <c r="B13">
        <v>1315</v>
      </c>
      <c r="C13">
        <v>880341965</v>
      </c>
      <c r="D13" s="3" t="s">
        <v>53</v>
      </c>
      <c r="E13" s="1" t="s">
        <v>28</v>
      </c>
      <c r="F13" t="s">
        <v>54</v>
      </c>
      <c r="G13">
        <v>1.7000999999999999</v>
      </c>
    </row>
    <row r="14" spans="1:7" ht="17.100000000000001">
      <c r="A14" s="1" t="s">
        <v>55</v>
      </c>
      <c r="B14">
        <v>1315</v>
      </c>
      <c r="C14">
        <v>882194068</v>
      </c>
      <c r="D14" s="3" t="s">
        <v>56</v>
      </c>
      <c r="E14" s="1" t="s">
        <v>21</v>
      </c>
      <c r="F14" t="s">
        <v>51</v>
      </c>
      <c r="G14">
        <v>0.66649999999999998</v>
      </c>
    </row>
    <row r="15" spans="1:7">
      <c r="A15" t="s">
        <v>57</v>
      </c>
      <c r="B15">
        <v>1315</v>
      </c>
      <c r="C15">
        <v>884910285</v>
      </c>
      <c r="D15" t="s">
        <v>58</v>
      </c>
      <c r="E15" s="1" t="s">
        <v>59</v>
      </c>
      <c r="F15" t="s">
        <v>54</v>
      </c>
      <c r="G15">
        <v>7.2107000000000001</v>
      </c>
    </row>
    <row r="16" spans="1:7">
      <c r="A16" s="1" t="s">
        <v>60</v>
      </c>
      <c r="B16">
        <v>1315</v>
      </c>
      <c r="C16">
        <v>886481907</v>
      </c>
      <c r="D16" t="s">
        <v>61</v>
      </c>
      <c r="E16" s="1" t="s">
        <v>21</v>
      </c>
      <c r="F16" t="s">
        <v>35</v>
      </c>
      <c r="G16">
        <v>1.8862000000000001</v>
      </c>
    </row>
    <row r="17" spans="1:7" ht="17.100000000000001">
      <c r="A17" s="1" t="s">
        <v>62</v>
      </c>
      <c r="B17">
        <v>1320</v>
      </c>
      <c r="C17">
        <v>889514680</v>
      </c>
      <c r="D17" s="3" t="s">
        <v>63</v>
      </c>
      <c r="E17" s="1" t="s">
        <v>28</v>
      </c>
      <c r="F17" t="s">
        <v>38</v>
      </c>
      <c r="G17">
        <v>1.8862000000000001</v>
      </c>
    </row>
    <row r="18" spans="1:7">
      <c r="A18" s="1" t="s">
        <v>64</v>
      </c>
      <c r="B18">
        <v>1315</v>
      </c>
      <c r="C18">
        <v>887842065</v>
      </c>
      <c r="D18" t="s">
        <v>65</v>
      </c>
      <c r="E18" s="1" t="s">
        <v>21</v>
      </c>
      <c r="F18" t="s">
        <v>38</v>
      </c>
      <c r="G18">
        <v>0.57740000000000002</v>
      </c>
    </row>
    <row r="19" spans="1:7">
      <c r="A19" t="s">
        <v>66</v>
      </c>
      <c r="B19">
        <v>1310</v>
      </c>
      <c r="C19">
        <v>888294156</v>
      </c>
      <c r="D19" t="s">
        <v>67</v>
      </c>
      <c r="E19" t="s">
        <v>68</v>
      </c>
      <c r="F19" t="s">
        <v>51</v>
      </c>
      <c r="G19">
        <v>0.89810000000000001</v>
      </c>
    </row>
    <row r="20" spans="1:7" ht="17.100000000000001">
      <c r="A20" s="1" t="s">
        <v>69</v>
      </c>
      <c r="B20">
        <v>1320</v>
      </c>
      <c r="C20">
        <v>880009632</v>
      </c>
      <c r="D20" s="3" t="s">
        <v>70</v>
      </c>
      <c r="E20" s="1" t="s">
        <v>21</v>
      </c>
      <c r="F20" t="s">
        <v>71</v>
      </c>
      <c r="G20">
        <v>14.061400000000001</v>
      </c>
    </row>
    <row r="21" spans="1:7" ht="17.100000000000001">
      <c r="A21" s="1" t="s">
        <v>72</v>
      </c>
      <c r="B21">
        <v>1320</v>
      </c>
      <c r="C21">
        <v>880074186</v>
      </c>
      <c r="D21" s="3" t="s">
        <v>73</v>
      </c>
      <c r="E21" s="1" t="s">
        <v>21</v>
      </c>
      <c r="F21" t="s">
        <v>74</v>
      </c>
      <c r="G21">
        <v>0.2087</v>
      </c>
    </row>
    <row r="22" spans="1:7">
      <c r="A22" s="1" t="s">
        <v>75</v>
      </c>
      <c r="B22">
        <v>1325</v>
      </c>
      <c r="C22">
        <v>880958321</v>
      </c>
      <c r="D22" t="s">
        <v>76</v>
      </c>
      <c r="E22" s="1" t="s">
        <v>21</v>
      </c>
      <c r="F22" t="s">
        <v>54</v>
      </c>
      <c r="G22">
        <v>0.1651</v>
      </c>
    </row>
    <row r="23" spans="1:7">
      <c r="A23" t="s">
        <v>77</v>
      </c>
      <c r="B23">
        <v>1325</v>
      </c>
      <c r="C23">
        <v>882316804</v>
      </c>
      <c r="D23" t="s">
        <v>78</v>
      </c>
      <c r="E23" t="s">
        <v>79</v>
      </c>
      <c r="F23" t="s">
        <v>74</v>
      </c>
      <c r="G23">
        <v>16.782900000000001</v>
      </c>
    </row>
    <row r="24" spans="1:7">
      <c r="A24" t="s">
        <v>80</v>
      </c>
      <c r="B24">
        <v>1325</v>
      </c>
      <c r="C24">
        <v>886049183</v>
      </c>
      <c r="D24" t="s">
        <v>81</v>
      </c>
      <c r="E24" s="1" t="s">
        <v>59</v>
      </c>
      <c r="F24" t="s">
        <v>22</v>
      </c>
      <c r="G24">
        <v>1.2699999999999999E-2</v>
      </c>
    </row>
    <row r="25" spans="1:7">
      <c r="A25" t="s">
        <v>82</v>
      </c>
      <c r="B25">
        <v>1330</v>
      </c>
      <c r="C25">
        <v>888407265</v>
      </c>
      <c r="D25" t="s">
        <v>83</v>
      </c>
      <c r="E25" s="1" t="s">
        <v>45</v>
      </c>
      <c r="F25" t="s">
        <v>51</v>
      </c>
      <c r="G25">
        <v>0.5897</v>
      </c>
    </row>
    <row r="26" spans="1:7">
      <c r="A26" t="s">
        <v>84</v>
      </c>
      <c r="B26">
        <v>1325</v>
      </c>
      <c r="C26">
        <v>883951472</v>
      </c>
      <c r="D26" t="s">
        <v>85</v>
      </c>
      <c r="E26" s="1" t="s">
        <v>45</v>
      </c>
      <c r="F26" t="s">
        <v>35</v>
      </c>
      <c r="G26">
        <v>0.85729999999999995</v>
      </c>
    </row>
    <row r="27" spans="1:7">
      <c r="A27" t="s">
        <v>86</v>
      </c>
      <c r="B27">
        <v>1330</v>
      </c>
      <c r="C27">
        <v>888193642</v>
      </c>
      <c r="D27" t="s">
        <v>87</v>
      </c>
      <c r="E27" s="1" t="s">
        <v>59</v>
      </c>
      <c r="F27" t="s">
        <v>74</v>
      </c>
      <c r="G27">
        <v>9.0700000000000003E-2</v>
      </c>
    </row>
    <row r="28" spans="1:7">
      <c r="A28" t="s">
        <v>88</v>
      </c>
      <c r="B28">
        <v>1330</v>
      </c>
      <c r="C28">
        <v>880005724</v>
      </c>
      <c r="D28" t="s">
        <v>89</v>
      </c>
      <c r="E28" s="1" t="s">
        <v>59</v>
      </c>
      <c r="F28" t="s">
        <v>25</v>
      </c>
      <c r="G28">
        <v>3.4099999999999998E-2</v>
      </c>
    </row>
    <row r="29" spans="1:7">
      <c r="A29" t="s">
        <v>90</v>
      </c>
      <c r="B29">
        <v>1340</v>
      </c>
      <c r="C29">
        <v>889056824</v>
      </c>
      <c r="D29" t="s">
        <v>91</v>
      </c>
      <c r="E29" t="s">
        <v>68</v>
      </c>
      <c r="F29" t="s">
        <v>48</v>
      </c>
      <c r="G29">
        <v>2.3586999999999998</v>
      </c>
    </row>
    <row r="30" spans="1:7">
      <c r="A30" t="s">
        <v>92</v>
      </c>
      <c r="B30">
        <v>1340</v>
      </c>
      <c r="C30">
        <v>889865021</v>
      </c>
      <c r="D30" t="s">
        <v>93</v>
      </c>
      <c r="E30" t="s">
        <v>34</v>
      </c>
      <c r="F30" t="s">
        <v>48</v>
      </c>
      <c r="G30">
        <v>0.25130000000000002</v>
      </c>
    </row>
    <row r="31" spans="1:7">
      <c r="A31" t="s">
        <v>94</v>
      </c>
      <c r="B31">
        <v>1330</v>
      </c>
      <c r="C31">
        <v>882579006</v>
      </c>
      <c r="D31" t="s">
        <v>95</v>
      </c>
      <c r="E31" s="1" t="s">
        <v>59</v>
      </c>
      <c r="F31" t="s">
        <v>38</v>
      </c>
      <c r="G31">
        <v>5.4139999999999997</v>
      </c>
    </row>
    <row r="32" spans="1:7">
      <c r="A32" t="s">
        <v>96</v>
      </c>
      <c r="B32">
        <v>1340</v>
      </c>
      <c r="C32">
        <v>881695803</v>
      </c>
      <c r="D32" t="s">
        <v>97</v>
      </c>
      <c r="E32" s="1" t="s">
        <v>45</v>
      </c>
      <c r="F32" t="s">
        <v>98</v>
      </c>
      <c r="G32">
        <v>66.519300000000001</v>
      </c>
    </row>
    <row r="33" spans="1:7">
      <c r="A33" t="s">
        <v>99</v>
      </c>
      <c r="B33">
        <v>1370</v>
      </c>
      <c r="C33">
        <v>880736198</v>
      </c>
      <c r="D33" t="s">
        <v>100</v>
      </c>
      <c r="E33" s="1" t="s">
        <v>59</v>
      </c>
      <c r="F33" t="s">
        <v>35</v>
      </c>
      <c r="G33">
        <v>0.19869999999999999</v>
      </c>
    </row>
    <row r="34" spans="1:7">
      <c r="A34" t="s">
        <v>101</v>
      </c>
      <c r="B34">
        <v>1370</v>
      </c>
      <c r="C34" s="1">
        <v>887263408</v>
      </c>
      <c r="D34" t="s">
        <v>102</v>
      </c>
      <c r="E34" s="1" t="s">
        <v>45</v>
      </c>
      <c r="F34" t="s">
        <v>48</v>
      </c>
      <c r="G34">
        <v>0.54430000000000001</v>
      </c>
    </row>
    <row r="35" spans="1:7">
      <c r="A35" t="s">
        <v>103</v>
      </c>
      <c r="B35">
        <v>1370</v>
      </c>
      <c r="C35">
        <v>881840967</v>
      </c>
      <c r="D35" t="s">
        <v>104</v>
      </c>
      <c r="E35" t="s">
        <v>34</v>
      </c>
      <c r="F35" t="s">
        <v>54</v>
      </c>
      <c r="G35">
        <v>5.1000000000000004E-3</v>
      </c>
    </row>
    <row r="36" spans="1:7">
      <c r="A36" s="1" t="s">
        <v>105</v>
      </c>
      <c r="B36">
        <v>1377</v>
      </c>
      <c r="C36">
        <v>888705314</v>
      </c>
      <c r="D36" t="s">
        <v>106</v>
      </c>
      <c r="E36" s="1" t="s">
        <v>21</v>
      </c>
      <c r="F36" t="s">
        <v>98</v>
      </c>
      <c r="G36">
        <v>4.6899999999999997E-2</v>
      </c>
    </row>
    <row r="37" spans="1:7">
      <c r="A37" t="s">
        <v>107</v>
      </c>
      <c r="B37">
        <v>1377</v>
      </c>
      <c r="C37">
        <v>880936287</v>
      </c>
      <c r="D37" t="s">
        <v>108</v>
      </c>
      <c r="E37" s="1" t="s">
        <v>28</v>
      </c>
      <c r="F37" t="s">
        <v>22</v>
      </c>
      <c r="G37">
        <v>4.5999999999999999E-3</v>
      </c>
    </row>
    <row r="38" spans="1:7">
      <c r="A38" t="s">
        <v>109</v>
      </c>
      <c r="B38">
        <v>1377</v>
      </c>
      <c r="C38" s="1">
        <v>882875031</v>
      </c>
      <c r="D38" t="s">
        <v>110</v>
      </c>
      <c r="E38" s="1" t="s">
        <v>28</v>
      </c>
      <c r="F38" t="s">
        <v>74</v>
      </c>
      <c r="G38">
        <v>1.8239000000000001</v>
      </c>
    </row>
    <row r="39" spans="1:7">
      <c r="A39" t="s">
        <v>111</v>
      </c>
      <c r="B39">
        <v>1377</v>
      </c>
      <c r="C39">
        <v>880602749</v>
      </c>
      <c r="D39" t="s">
        <v>112</v>
      </c>
      <c r="E39" t="s">
        <v>34</v>
      </c>
      <c r="F39" t="s">
        <v>22</v>
      </c>
      <c r="G39">
        <v>7.7999999999999996E-3</v>
      </c>
    </row>
    <row r="40" spans="1:7">
      <c r="A40" t="s">
        <v>113</v>
      </c>
      <c r="B40">
        <v>1377</v>
      </c>
      <c r="C40">
        <v>885184037</v>
      </c>
      <c r="D40" t="s">
        <v>114</v>
      </c>
      <c r="E40" t="s">
        <v>34</v>
      </c>
      <c r="F40" t="s">
        <v>25</v>
      </c>
      <c r="G40">
        <v>5.9999999999999995E-4</v>
      </c>
    </row>
    <row r="41" spans="1:7">
      <c r="A41" t="s">
        <v>115</v>
      </c>
      <c r="B41">
        <v>1390</v>
      </c>
      <c r="C41">
        <v>884208376</v>
      </c>
      <c r="D41" t="s">
        <v>116</v>
      </c>
      <c r="E41" t="s">
        <v>34</v>
      </c>
      <c r="F41" t="s">
        <v>35</v>
      </c>
      <c r="G41">
        <v>6.4999999999999997E-3</v>
      </c>
    </row>
    <row r="42" spans="1:7">
      <c r="A42" t="s">
        <v>117</v>
      </c>
      <c r="B42">
        <v>1377</v>
      </c>
      <c r="C42">
        <v>880027458</v>
      </c>
      <c r="D42" t="s">
        <v>118</v>
      </c>
      <c r="E42" t="s">
        <v>34</v>
      </c>
      <c r="F42" t="s">
        <v>74</v>
      </c>
      <c r="G42">
        <v>1.23E-2</v>
      </c>
    </row>
    <row r="43" spans="1:7">
      <c r="A43" t="s">
        <v>119</v>
      </c>
      <c r="B43">
        <v>1410</v>
      </c>
      <c r="C43">
        <v>885912370</v>
      </c>
      <c r="D43" t="s">
        <v>120</v>
      </c>
      <c r="E43" s="1" t="s">
        <v>68</v>
      </c>
      <c r="F43" t="s">
        <v>38</v>
      </c>
      <c r="G43">
        <v>31.3432</v>
      </c>
    </row>
    <row r="44" spans="1:7">
      <c r="A44" t="s">
        <v>121</v>
      </c>
      <c r="B44">
        <v>1410</v>
      </c>
      <c r="C44">
        <v>889023457</v>
      </c>
      <c r="D44" t="s">
        <v>122</v>
      </c>
      <c r="E44" s="1" t="s">
        <v>59</v>
      </c>
      <c r="F44" t="s">
        <v>98</v>
      </c>
      <c r="G44">
        <v>130.40799999999999</v>
      </c>
    </row>
    <row r="45" spans="1:7">
      <c r="A45" t="s">
        <v>123</v>
      </c>
      <c r="B45">
        <v>1410</v>
      </c>
      <c r="C45">
        <v>880389056</v>
      </c>
      <c r="D45" t="s">
        <v>124</v>
      </c>
      <c r="E45" s="1" t="s">
        <v>68</v>
      </c>
      <c r="F45" t="s">
        <v>74</v>
      </c>
      <c r="G45">
        <v>42.048000000000002</v>
      </c>
    </row>
    <row r="46" spans="1:7">
      <c r="A46" t="s">
        <v>125</v>
      </c>
      <c r="B46">
        <v>1410</v>
      </c>
      <c r="C46">
        <v>882749381</v>
      </c>
      <c r="D46" t="s">
        <v>126</v>
      </c>
      <c r="E46" s="1" t="s">
        <v>68</v>
      </c>
      <c r="F46" t="s">
        <v>98</v>
      </c>
      <c r="G46">
        <v>75.461200000000005</v>
      </c>
    </row>
    <row r="47" spans="1:7">
      <c r="A47" t="s">
        <v>127</v>
      </c>
      <c r="B47">
        <v>1410</v>
      </c>
      <c r="C47">
        <v>881647002</v>
      </c>
      <c r="D47" t="s">
        <v>128</v>
      </c>
      <c r="E47" t="s">
        <v>68</v>
      </c>
      <c r="F47" t="s">
        <v>35</v>
      </c>
      <c r="G47">
        <v>1.4999</v>
      </c>
    </row>
    <row r="48" spans="1:7">
      <c r="A48" t="s">
        <v>129</v>
      </c>
      <c r="B48">
        <v>1410</v>
      </c>
      <c r="C48">
        <v>887120843</v>
      </c>
      <c r="D48" t="s">
        <v>130</v>
      </c>
      <c r="E48" t="s">
        <v>68</v>
      </c>
      <c r="F48" t="s">
        <v>25</v>
      </c>
      <c r="G48">
        <v>95.526600000000002</v>
      </c>
    </row>
    <row r="49" spans="1:7">
      <c r="A49" t="s">
        <v>131</v>
      </c>
      <c r="B49">
        <v>1377</v>
      </c>
      <c r="C49">
        <v>886749083</v>
      </c>
      <c r="D49" t="s">
        <v>132</v>
      </c>
      <c r="E49" t="s">
        <v>79</v>
      </c>
      <c r="F49" t="s">
        <v>98</v>
      </c>
      <c r="G49">
        <v>108.86199999999999</v>
      </c>
    </row>
  </sheetData>
  <autoFilter ref="A1:H39" xr:uid="{2A95E929-0F2C-B346-BF5E-237CB9DB6687}">
    <sortState xmlns:xlrd2="http://schemas.microsoft.com/office/spreadsheetml/2017/richdata2" ref="A2:G49">
      <sortCondition ref="A1:A49"/>
    </sortState>
  </autoFilter>
  <sortState xmlns:xlrd2="http://schemas.microsoft.com/office/spreadsheetml/2017/richdata2" ref="A2:H49">
    <sortCondition ref="E2:E49"/>
    <sortCondition ref="F2:F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3C99-D243-A34C-BFD5-022493F5B3D6}">
  <dimension ref="A1:B6"/>
  <sheetViews>
    <sheetView workbookViewId="0">
      <selection activeCell="B16" sqref="B16"/>
    </sheetView>
  </sheetViews>
  <sheetFormatPr defaultColWidth="11" defaultRowHeight="15.95"/>
  <cols>
    <col min="2" max="2" width="19.5" customWidth="1"/>
  </cols>
  <sheetData>
    <row r="1" spans="1:2">
      <c r="A1" t="s">
        <v>133</v>
      </c>
      <c r="B1" t="s">
        <v>134</v>
      </c>
    </row>
    <row r="2" spans="1:2">
      <c r="A2" t="s">
        <v>9</v>
      </c>
      <c r="B2" t="s">
        <v>135</v>
      </c>
    </row>
    <row r="3" spans="1:2">
      <c r="A3" t="s">
        <v>10</v>
      </c>
      <c r="B3" t="s">
        <v>136</v>
      </c>
    </row>
    <row r="4" spans="1:2">
      <c r="A4" t="s">
        <v>11</v>
      </c>
      <c r="B4" t="s">
        <v>137</v>
      </c>
    </row>
    <row r="5" spans="1:2">
      <c r="A5" t="s">
        <v>12</v>
      </c>
      <c r="B5" t="s">
        <v>138</v>
      </c>
    </row>
    <row r="6" spans="1:2">
      <c r="A6" t="s">
        <v>13</v>
      </c>
      <c r="B6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AEBA-76E7-DE4C-98C0-9D090EC53793}">
  <dimension ref="A1:B12"/>
  <sheetViews>
    <sheetView zoomScale="212" workbookViewId="0">
      <selection activeCell="A2" sqref="A2"/>
    </sheetView>
  </sheetViews>
  <sheetFormatPr defaultColWidth="11" defaultRowHeight="15.95"/>
  <cols>
    <col min="1" max="1" width="17" customWidth="1"/>
    <col min="2" max="2" width="58.625" customWidth="1"/>
  </cols>
  <sheetData>
    <row r="1" spans="1:2">
      <c r="A1" t="s">
        <v>17</v>
      </c>
      <c r="B1" t="s">
        <v>140</v>
      </c>
    </row>
    <row r="2" spans="1:2">
      <c r="A2" s="1" t="s">
        <v>59</v>
      </c>
      <c r="B2" t="s">
        <v>141</v>
      </c>
    </row>
    <row r="3" spans="1:2">
      <c r="A3" s="1" t="s">
        <v>21</v>
      </c>
      <c r="B3" t="s">
        <v>142</v>
      </c>
    </row>
    <row r="4" spans="1:2">
      <c r="A4" t="s">
        <v>68</v>
      </c>
      <c r="B4" t="s">
        <v>143</v>
      </c>
    </row>
    <row r="5" spans="1:2">
      <c r="A5" t="s">
        <v>34</v>
      </c>
      <c r="B5" t="s">
        <v>144</v>
      </c>
    </row>
    <row r="6" spans="1:2">
      <c r="A6" t="s">
        <v>79</v>
      </c>
      <c r="B6" t="s">
        <v>145</v>
      </c>
    </row>
    <row r="7" spans="1:2">
      <c r="A7" s="1" t="s">
        <v>45</v>
      </c>
      <c r="B7" t="s">
        <v>146</v>
      </c>
    </row>
    <row r="8" spans="1:2">
      <c r="A8" t="s">
        <v>147</v>
      </c>
      <c r="B8" t="s">
        <v>148</v>
      </c>
    </row>
    <row r="9" spans="1:2">
      <c r="A9" t="s">
        <v>149</v>
      </c>
      <c r="B9" t="s">
        <v>150</v>
      </c>
    </row>
    <row r="10" spans="1:2">
      <c r="A10" s="1" t="s">
        <v>28</v>
      </c>
      <c r="B10" t="s">
        <v>151</v>
      </c>
    </row>
    <row r="11" spans="1:2">
      <c r="A11" s="1" t="s">
        <v>152</v>
      </c>
      <c r="B11" t="s">
        <v>153</v>
      </c>
    </row>
    <row r="12" spans="1:2">
      <c r="A12" s="1" t="s">
        <v>154</v>
      </c>
      <c r="B12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9FA5-8756-2147-BAD1-ABD060DC07CB}">
  <dimension ref="A1:B14"/>
  <sheetViews>
    <sheetView workbookViewId="0">
      <selection activeCell="B26" sqref="B26"/>
    </sheetView>
  </sheetViews>
  <sheetFormatPr defaultColWidth="11" defaultRowHeight="15.95"/>
  <cols>
    <col min="2" max="2" width="54.125" customWidth="1"/>
  </cols>
  <sheetData>
    <row r="1" spans="1:2">
      <c r="A1" t="s">
        <v>3</v>
      </c>
      <c r="B1" t="s">
        <v>156</v>
      </c>
    </row>
    <row r="2" spans="1:2">
      <c r="A2" t="s">
        <v>157</v>
      </c>
      <c r="B2" t="s">
        <v>158</v>
      </c>
    </row>
    <row r="3" spans="1:2">
      <c r="A3" t="s">
        <v>22</v>
      </c>
      <c r="B3" t="s">
        <v>159</v>
      </c>
    </row>
    <row r="4" spans="1:2">
      <c r="A4" t="s">
        <v>25</v>
      </c>
      <c r="B4" t="s">
        <v>160</v>
      </c>
    </row>
    <row r="5" spans="1:2">
      <c r="A5" t="s">
        <v>74</v>
      </c>
      <c r="B5" t="s">
        <v>161</v>
      </c>
    </row>
    <row r="6" spans="1:2">
      <c r="A6" t="s">
        <v>38</v>
      </c>
      <c r="B6" t="s">
        <v>162</v>
      </c>
    </row>
    <row r="7" spans="1:2">
      <c r="A7" t="s">
        <v>54</v>
      </c>
      <c r="B7" t="s">
        <v>163</v>
      </c>
    </row>
    <row r="8" spans="1:2">
      <c r="A8" t="s">
        <v>35</v>
      </c>
      <c r="B8" t="s">
        <v>164</v>
      </c>
    </row>
    <row r="9" spans="1:2">
      <c r="A9" t="s">
        <v>51</v>
      </c>
      <c r="B9" t="s">
        <v>165</v>
      </c>
    </row>
    <row r="10" spans="1:2">
      <c r="A10" t="s">
        <v>98</v>
      </c>
      <c r="B10" t="s">
        <v>166</v>
      </c>
    </row>
    <row r="11" spans="1:2">
      <c r="A11" t="s">
        <v>71</v>
      </c>
      <c r="B11" t="s">
        <v>167</v>
      </c>
    </row>
    <row r="12" spans="1:2">
      <c r="A12" t="s">
        <v>48</v>
      </c>
      <c r="B12" t="s">
        <v>168</v>
      </c>
    </row>
    <row r="13" spans="1:2">
      <c r="A13" t="s">
        <v>169</v>
      </c>
      <c r="B13" t="s">
        <v>170</v>
      </c>
    </row>
    <row r="14" spans="1:2">
      <c r="A14" t="s">
        <v>29</v>
      </c>
      <c r="B14" t="s">
        <v>171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Lincourt, David</dc:creator>
  <cp:keywords/>
  <dc:description/>
  <cp:lastModifiedBy/>
  <cp:revision/>
  <dcterms:created xsi:type="dcterms:W3CDTF">2026-01-09T12:53:08Z</dcterms:created>
  <dcterms:modified xsi:type="dcterms:W3CDTF">2026-01-12T12:24:54Z</dcterms:modified>
  <cp:category/>
  <cp:contentStatus/>
</cp:coreProperties>
</file>